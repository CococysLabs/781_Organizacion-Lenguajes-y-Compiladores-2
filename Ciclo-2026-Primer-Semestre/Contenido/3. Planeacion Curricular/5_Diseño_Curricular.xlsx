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sheetId="1" r:id="rId5"/>
    <sheet state="visible" name="Competencias" sheetId="2" r:id="rId6"/>
    <sheet state="visible" name="Diseño" sheetId="3" r:id="rId7"/>
    <sheet state="visible" name="Semana Diagnostico" sheetId="4" r:id="rId8"/>
    <sheet state="visible" name="S.2" sheetId="5" r:id="rId9"/>
    <sheet state="visible" name="S.3" sheetId="6" r:id="rId10"/>
    <sheet state="visible" name="S.4" sheetId="7" r:id="rId11"/>
    <sheet state="visible" name="S.5" sheetId="8" r:id="rId12"/>
    <sheet state="visible" name="S.6" sheetId="9" r:id="rId13"/>
    <sheet state="visible" name="S.7" sheetId="10" r:id="rId14"/>
    <sheet state="visible" name="S.8" sheetId="11" r:id="rId15"/>
    <sheet state="visible" name="S.9" sheetId="12" r:id="rId16"/>
    <sheet state="visible" name="S.10" sheetId="13" r:id="rId17"/>
    <sheet state="visible" name="S.11" sheetId="14" r:id="rId18"/>
    <sheet state="visible" name="S.12" sheetId="15" r:id="rId19"/>
    <sheet state="visible" name="Proyectos" sheetId="16" r:id="rId20"/>
    <sheet state="visible" name="Practicas" sheetId="17" r:id="rId21"/>
    <sheet state="visible" name="Tareas" sheetId="18" r:id="rId22"/>
    <sheet state="hidden" name="Metadata" sheetId="19" r:id="rId2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8">
      <text>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text>
    </comment>
  </commentList>
</comments>
</file>

<file path=xl/sharedStrings.xml><?xml version="1.0" encoding="utf-8"?>
<sst xmlns="http://schemas.openxmlformats.org/spreadsheetml/2006/main" count="1444" uniqueCount="408">
  <si>
    <t>Competencias que se formaran en el Segundo Semestre 2026</t>
  </si>
  <si>
    <t>Curso</t>
  </si>
  <si>
    <t xml:space="preserve">Resumen de Ponderacion y Horas </t>
  </si>
  <si>
    <t>Diseño de Contenido Curricular</t>
  </si>
  <si>
    <t>781 - Organización de Lenguajes y Compiladores 2</t>
  </si>
  <si>
    <t>Semestre que aplica</t>
  </si>
  <si>
    <t>Segundo Semestre 2026</t>
  </si>
  <si>
    <t>semestre que aplica</t>
  </si>
  <si>
    <t>Total de Puntos del Laboratorio</t>
  </si>
  <si>
    <t>* Esta sección se auto completa al momento en que se llene a la información de la planificación</t>
  </si>
  <si>
    <t>** Tomar como base la distribución realizada por el coordinador del area del curso en el documento de criterios y expectativas</t>
  </si>
  <si>
    <t>Tipo de Actividad</t>
  </si>
  <si>
    <t>Ponderacion</t>
  </si>
  <si>
    <t>Horas utilizadas</t>
  </si>
  <si>
    <t>Aspectos clave que debe abordar</t>
  </si>
  <si>
    <t>Competencias relacionadas al perfil del egresado (Especifica)</t>
  </si>
  <si>
    <t>No.</t>
  </si>
  <si>
    <t>Competencia</t>
  </si>
  <si>
    <t>Nombre de la Unidad</t>
  </si>
  <si>
    <t>Tema</t>
  </si>
  <si>
    <t>Subtema</t>
  </si>
  <si>
    <t>Mes</t>
  </si>
  <si>
    <t>Semana</t>
  </si>
  <si>
    <t xml:space="preserve">Identifica motivaciones y estructura esencial de un compilador mediante un repaso práctico de análisis sintáctico para establecer las bases teóricas del curso </t>
  </si>
  <si>
    <t>Visión General del Curso</t>
  </si>
  <si>
    <t>Motivaciones para estudiar compiladores</t>
  </si>
  <si>
    <t>julio</t>
  </si>
  <si>
    <t>Competencias relacionadas al perfil del egresado (General)</t>
  </si>
  <si>
    <t>Tiempo</t>
  </si>
  <si>
    <t>Breve Historia del Compilador</t>
  </si>
  <si>
    <t>Valor Maximo Recomendado</t>
  </si>
  <si>
    <t>Demuestra pensamiento crítico, actitud investigativa y rigor analítico en el
 planteamiento y la resolución de problemas complejos.</t>
  </si>
  <si>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</si>
  <si>
    <t>Actividades durante el peridodo de laboratorio</t>
  </si>
  <si>
    <t>Estructura de un Compilador</t>
  </si>
  <si>
    <t xml:space="preserve">1. Bienvenida y Presentación                                   </t>
  </si>
  <si>
    <t>Repaso Análisis Sintáctico</t>
  </si>
  <si>
    <t xml:space="preserve">Analiza estructuras de lenguaje mediante la aplicación de reglas formales para la generación de gramáticas </t>
  </si>
  <si>
    <t>Análisis Sintáctico</t>
  </si>
  <si>
    <t>Tiempo Aproximado</t>
  </si>
  <si>
    <t>Análisis Descendente</t>
  </si>
  <si>
    <t>Aplica principios básicos de ingeniería, ciencias de computación y sistemas
 de información y comunicación, en la formulación y resolución adecuada de
 problemas complejos.</t>
  </si>
  <si>
    <t>Análisis Ascendente</t>
  </si>
  <si>
    <t>Resolución de ambigüedades sintácticas</t>
  </si>
  <si>
    <t>No puedes excederte mas de 15 minutos</t>
  </si>
  <si>
    <t>Esquemas de Traducción</t>
  </si>
  <si>
    <t>Demuestra destreza y habilidad en la selección, uso y adaptación de
 herramientas metodológicas, tecnológicas, equipos especializados y en la
 lectura e interpretación de datos, pertinentes al contexto de su ejercicio
 profesional.</t>
  </si>
  <si>
    <t xml:space="preserve">Nombre y Formacion Academica </t>
  </si>
  <si>
    <t xml:space="preserve">Analiza la semántica de un lenguaje de programación mediante la validación de tipos, alcance y estructuras de control para determinar la corrección de expresiones y sentencias </t>
  </si>
  <si>
    <t>Análisis Semántico</t>
  </si>
  <si>
    <t>Atributos Sintetizados y Heredados</t>
  </si>
  <si>
    <t>agosto</t>
  </si>
  <si>
    <t>Alcance y Tabla de Símbolos</t>
  </si>
  <si>
    <t>Aplica estándares de calidad, eficiencia y seguridad en la implementación
 adecuada de soluciones de software, hardware y TIC en general.</t>
  </si>
  <si>
    <t>Validación de Tipos</t>
  </si>
  <si>
    <t xml:space="preserve">Presentacion del tutor, </t>
  </si>
  <si>
    <t>Toma decisiones profesionales con base en fundamentos teóricos, datos e
 información pertinente, válida y confiable.</t>
  </si>
  <si>
    <t>Entornos</t>
  </si>
  <si>
    <t>Tipado Dinámico</t>
  </si>
  <si>
    <t>Actualiza permanente sus conocimientos relacionados con TIC en general,
 apoyándose en las estrategias de aprendizaje apropiadas.</t>
  </si>
  <si>
    <t xml:space="preserve">Experiencia docente y profecional </t>
  </si>
  <si>
    <t>Expresiones y Sentencias</t>
  </si>
  <si>
    <t>Estructuras de Control</t>
  </si>
  <si>
    <t>Proyectos</t>
  </si>
  <si>
    <t>Rol del auxiliar dentro del curso (funciones, actividades y apoyo a los estudiantes).</t>
  </si>
  <si>
    <t>No</t>
  </si>
  <si>
    <t>Recuperación de Errores</t>
  </si>
  <si>
    <t xml:space="preserve">Evalua la representacion semantica de funciones, y objetos mediante el análisis de alcance, tipos y tabla de simbolos para determinar su correcta representación en interpretes y compiladores </t>
  </si>
  <si>
    <t>Funciones</t>
  </si>
  <si>
    <t>Funciones y sus tipos</t>
  </si>
  <si>
    <t>Tipo</t>
  </si>
  <si>
    <t>Verbo en Presente</t>
  </si>
  <si>
    <t>Objeto de la acción</t>
  </si>
  <si>
    <t>Parametros y Argumentos de una función</t>
  </si>
  <si>
    <t>Responder dudas que quedaron de la magistral, facilitar ejercicios y material de estudio</t>
  </si>
  <si>
    <t>Hoisting</t>
  </si>
  <si>
    <t>Callstack</t>
  </si>
  <si>
    <t>[Palabras conectoreas] Herramientas o metodología</t>
  </si>
  <si>
    <t>Closures</t>
  </si>
  <si>
    <t>[Palabras conectoreas] Condiciones específicas</t>
  </si>
  <si>
    <t>Prácticas</t>
  </si>
  <si>
    <t>Expectativas sobre la dinámica del curso</t>
  </si>
  <si>
    <t xml:space="preserve">Tiempo que emplearas </t>
  </si>
  <si>
    <t>Programación Orientada a Objetos</t>
  </si>
  <si>
    <t>Nivel</t>
  </si>
  <si>
    <t>Clases y Objetos</t>
  </si>
  <si>
    <t>Prototipos</t>
  </si>
  <si>
    <t>Constructores</t>
  </si>
  <si>
    <t>General</t>
  </si>
  <si>
    <t>Sobrecarga de Métodos</t>
  </si>
  <si>
    <t xml:space="preserve">2. Evaluación de Conocimientos Previos                             </t>
  </si>
  <si>
    <t>Identifica</t>
  </si>
  <si>
    <t>Estructura en Memoria</t>
  </si>
  <si>
    <t xml:space="preserve">Analiza las equivalencias sintácticas y semánticas de un lenguaje de alto nivel mediante el mapeo de construcciones a instrucciones de Representación Intermedia tales como C3D, cuádruplas o Bytecode. </t>
  </si>
  <si>
    <t>Representaciones intermedias y generación de código</t>
  </si>
  <si>
    <t>Codigo de 3 direcciones</t>
  </si>
  <si>
    <t>septiembre</t>
  </si>
  <si>
    <t>Tareas</t>
  </si>
  <si>
    <t>Bytecode</t>
  </si>
  <si>
    <t>motivaciones y estructura esencial de un compilador</t>
  </si>
  <si>
    <t>Assembly: Risc-V y ARM64</t>
  </si>
  <si>
    <t>Enteros</t>
  </si>
  <si>
    <t>En los recuadors de la derecha deberas colocar las preguntas que planeas realizar con sus respectivas respuestas.  En el segundo recuadro deberas colocar un breve resumne de lo que tines planificado para la parte practica del curso previo al que estas impartiendo.</t>
  </si>
  <si>
    <t>Punto Flotante</t>
  </si>
  <si>
    <t>Redactaras de 15 a 20 preguntas con sus respectivas respuestas , por lo que debes escoge los temas que evaluaras</t>
  </si>
  <si>
    <t>mediante un repaso práctico de análisis sintáctico</t>
  </si>
  <si>
    <t>Enlaces: kahoot, forms,</t>
  </si>
  <si>
    <t>Char y Strings</t>
  </si>
  <si>
    <t>Redactaras una parte practica para realizar la evaluacion de conocimientos previos</t>
  </si>
  <si>
    <t>para establecer las bases teóricas del curso</t>
  </si>
  <si>
    <t>Entornos y memoria en un compilador</t>
  </si>
  <si>
    <t>Tabla de Símbolos</t>
  </si>
  <si>
    <t>Stack, Heap y punteros</t>
  </si>
  <si>
    <t>Comprender</t>
  </si>
  <si>
    <t>Resolución de variables</t>
  </si>
  <si>
    <t xml:space="preserve">3. Presentación de los Estudiantes                                </t>
  </si>
  <si>
    <t>Total</t>
  </si>
  <si>
    <t xml:space="preserve">No puedes excederte mas de 15 minutos </t>
  </si>
  <si>
    <t>Estructuras de Control en C3D (Etiquetas y Saltos)</t>
  </si>
  <si>
    <t xml:space="preserve">Generar un compilador utilizando como representación intermedia lenguajes ensambladores como RISC-V o Aarch64 </t>
  </si>
  <si>
    <t>Memoria en tiempo de ejecución</t>
  </si>
  <si>
    <t>octubre</t>
  </si>
  <si>
    <t>Seleccion al Azar de 5 Estudiantes</t>
  </si>
  <si>
    <t>Descriptores de registros y direcciones</t>
  </si>
  <si>
    <t>Ruleta para que pasen estudiantes</t>
  </si>
  <si>
    <t>Registros de activación</t>
  </si>
  <si>
    <t xml:space="preserve">En el primer recuadro colocaras la metodollogia que adoptaras para la eleccion de los estudiantes.                                                                                                                                                                                 En el segundo recuadro colocaras la redaccion de las preguntas que comprendan los siguientes puntos respecto al estudiante:                                                                                                                  Nombre.
Intereses y expectativas sobre el curso.
Experiencia previa relacionada con el curso (si aplica).
Un dato curioso sobre sí mismo.
Consideras que la prueba de conociminetos previos esta acorde al conocimiento que se te brindo en su momento                                                                                                                                                   Que tan comodo se sintio con la prueba anterior.    </t>
  </si>
  <si>
    <t>Paso de argumentos</t>
  </si>
  <si>
    <t>Indica las preguntas que responderan los estudiantes afortunados</t>
  </si>
  <si>
    <t>Validacion</t>
  </si>
  <si>
    <t>Memoria heap en tiempo de ejecución</t>
  </si>
  <si>
    <t>Arreglos y String, métodos de guardado</t>
  </si>
  <si>
    <t>Utilización de la pila para guardar punteros</t>
  </si>
  <si>
    <t>Utilización del puntero link para funciones recursivas</t>
  </si>
  <si>
    <t xml:space="preserve">4.  Senso de Horarios de Calificación                                  </t>
  </si>
  <si>
    <t>Optimización de la generación de código</t>
  </si>
  <si>
    <t>Métodos de optimización</t>
  </si>
  <si>
    <t>Especifica</t>
  </si>
  <si>
    <t>Analiza</t>
  </si>
  <si>
    <t xml:space="preserve">Deberas estar recordando que deben contestar el formulario asi mismo dejar el link fijado en la llamada </t>
  </si>
  <si>
    <t>Fases para optimizar en la creación del compilador</t>
  </si>
  <si>
    <t>estructuras de lenguaje</t>
  </si>
  <si>
    <t>mediante la aplicación de reglas formales</t>
  </si>
  <si>
    <t>Esta actividad quedara abierta hasta el fin de la clase. pero emplearas 5 min especificos para la actividad</t>
  </si>
  <si>
    <t>para la generación de gramáticas</t>
  </si>
  <si>
    <t>Algoritmos para dividir en bloques las estructuras de C3D</t>
  </si>
  <si>
    <t xml:space="preserve">Link de google forms donde este el cuestionario </t>
  </si>
  <si>
    <t>Noviembre</t>
  </si>
  <si>
    <t>Forms: sensos.</t>
  </si>
  <si>
    <t>Analizar</t>
  </si>
  <si>
    <t>Algoritmos para optimizar los bloques de código C3d</t>
  </si>
  <si>
    <t xml:space="preserve">Esta actividad te ayudara a realizar un senso de posibles horarios de calificacion y que tus estudiantes esten enterados y puedan preveer los dias de calificacion y asi mismo el horario. Deberas colocar en los reacuadros de la derecha link de Google form libre para correos intitucionales, esto para garantizar una sola respuesta por estudiante.    TAmbien deberas colocar los posibles horarios y dias que tentativamente tendrias disponibles. para colocarlos en el google form. </t>
  </si>
  <si>
    <t xml:space="preserve">Dias y posibles Horarios de calificacion </t>
  </si>
  <si>
    <t>Algotimo para obtener registros vacíos del descriptor de registros en la generación de código</t>
  </si>
  <si>
    <t xml:space="preserve">5.  Mostrar Programa del Curso                 </t>
  </si>
  <si>
    <t>No puedes excederte mas de 30 minutos</t>
  </si>
  <si>
    <t>Indicaciones</t>
  </si>
  <si>
    <t>la semántica de un lenguaje de programación</t>
  </si>
  <si>
    <t>Mostrar material de estudio, contacto, distribución de punteo en proyectos, tareas y actividades (No extenderse mucho con la lectura del Programa). Terminar con los subtemas</t>
  </si>
  <si>
    <t>mediante la validación de tipos, alcance y estructuras de control</t>
  </si>
  <si>
    <t>para determinar la corrección de expresiones y sentencias</t>
  </si>
  <si>
    <t>5.1 Contenido</t>
  </si>
  <si>
    <t>Evalua</t>
  </si>
  <si>
    <t>la representacion semantica de funciones y objetos</t>
  </si>
  <si>
    <t>Unidad</t>
  </si>
  <si>
    <t>mediante el análisis de alcance, tipos y tabla de simbolos</t>
  </si>
  <si>
    <t>para determinar su correcta representación en interpretes y compiladores</t>
  </si>
  <si>
    <t>Evaluar</t>
  </si>
  <si>
    <t xml:space="preserve">Tema </t>
  </si>
  <si>
    <t>Sub Tema</t>
  </si>
  <si>
    <t>las equivalencias sintácticas y semánticas de un lenguaje de alto nivel</t>
  </si>
  <si>
    <t>mediante el mapeo de construcciones a instrucciones de Representación Intermedia</t>
  </si>
  <si>
    <t>tales como C3D, cuádruplas o Bytecode.</t>
  </si>
  <si>
    <t>Generar</t>
  </si>
  <si>
    <t>un intérprete</t>
  </si>
  <si>
    <t>utilizando herramientas generadoras de parser en un lenguaje dado</t>
  </si>
  <si>
    <t>realizando el análisis semántico durante la ejecución.</t>
  </si>
  <si>
    <t>Aplicar</t>
  </si>
  <si>
    <t>un compilador</t>
  </si>
  <si>
    <t>utilizando como representación intermedia</t>
  </si>
  <si>
    <t>lenguajes ensambladores como RISC-V o Aarch64</t>
  </si>
  <si>
    <t>Crear</t>
  </si>
  <si>
    <t xml:space="preserve">6. Evaluación de Conocimientos del Curso Actual                                  </t>
  </si>
  <si>
    <t xml:space="preserve">Redactaras 20 preguntas con sus respectivas respuestas </t>
  </si>
  <si>
    <t xml:space="preserve">Enlace: </t>
  </si>
  <si>
    <r>
      <rPr>
        <rFont val="Arial"/>
        <b/>
        <color theme="1"/>
      </rPr>
      <t>Manual de competencias:</t>
    </r>
    <r>
      <rPr>
        <rFont val="Arial"/>
        <color theme="1"/>
      </rPr>
      <t xml:space="preserve"> </t>
    </r>
    <r>
      <rPr>
        <rFont val="Arial"/>
        <color rgb="FF1155CC"/>
        <u/>
      </rPr>
      <t>https://drive.google.com/file/d/1n5es0M20vXxa7i4eLN7pbgTXc2C1dmCQ/view?usp=sharing</t>
    </r>
  </si>
  <si>
    <r>
      <rPr>
        <rFont val="Arial"/>
        <b/>
        <color theme="1"/>
      </rPr>
      <t>Video de como hacer competencias:</t>
    </r>
    <r>
      <rPr>
        <rFont val="Arial"/>
        <color theme="1"/>
      </rPr>
      <t xml:space="preserve"> </t>
    </r>
    <r>
      <rPr>
        <rFont val="Arial"/>
        <color rgb="FF1155CC"/>
        <u/>
      </rPr>
      <t>https://youtu.be/C8Q9dKo4t-w?si=yErgF_ihe1tsaHM0</t>
    </r>
  </si>
  <si>
    <t>Si las competencias son las misma que el semetre anterior compartenos tu opinion de porque no se cambiaron</t>
  </si>
  <si>
    <t>Diseño de la Sesión de Laboratorio</t>
  </si>
  <si>
    <t>Ponderación</t>
  </si>
  <si>
    <t>Validación de Tiempo</t>
  </si>
  <si>
    <t>1. Área Actitudinal (Saber Ser)</t>
  </si>
  <si>
    <t>No puede exceder los 5 minutos</t>
  </si>
  <si>
    <t>Nombre del Valor</t>
  </si>
  <si>
    <t>Integridad y Veracidad Técnica</t>
  </si>
  <si>
    <t>Descripcion</t>
  </si>
  <si>
    <t>La integridad en la ingeniería de sistemas implica el compromiso con la precisión técnica y el seguimiento riguroso de estándares, garantizando que el software se comporte de manera predecible. La veracidad asegura que los reportes del sistema (como el manejo de errores) sean reflejos exactos y transparentes de la lógica procesada.</t>
  </si>
  <si>
    <t>Como se relaciona con los conocimientos de la sesion y se aplicaria</t>
  </si>
  <si>
    <t>Al resolver ambigüedades, el ingeniero actúa con integridad para garantizar una interpretación única y lógica de la gramática. Asimismo, un manejo de errores veraz proporciona mensajes precisos que guían al desarrollador sin ambigüedades, evitando comportamientos arbitrarios en el software final.</t>
  </si>
  <si>
    <t>2. Área Conocimiento (Saber)</t>
  </si>
  <si>
    <t>No puede exceder los 60 minutos</t>
  </si>
  <si>
    <t>Competencia a desarrollar</t>
  </si>
  <si>
    <t>Tiene que estar en un rango de 3 a 5 minutos</t>
  </si>
  <si>
    <t xml:space="preserve">Rigor y Precisión Técnica </t>
  </si>
  <si>
    <t xml:space="preserve">Es el compromiso con la exactitud y el cumplimiento estricto de las especificaciones lógicas en la construcción de sistemas. Se traduce en una atención meticulosa a los detalles técnicos para evitar errores de interpretación que comprometan la funcionalidad. </t>
  </si>
  <si>
    <t>2.1 Contenido</t>
  </si>
  <si>
    <t xml:space="preserve">Se aplica en el Análisis Semántico al validar tipos y gestionar ámbitos en la Tabla de Símbolos. El rigor asegura que las reglas de visibilidad y compatibilidad se cumplan sin excepciones, garantizando que el compilador detecte inconsistencias lógicas y genere un programa robusto y confiable. </t>
  </si>
  <si>
    <t>2.2 Recursos Educativos</t>
  </si>
  <si>
    <t>Tipo de Recurso a utilizar</t>
  </si>
  <si>
    <t>Valor maximo recomendado en Minutos</t>
  </si>
  <si>
    <t>Tiempo Aproximado ( unicamente el valor de minutos )</t>
  </si>
  <si>
    <t>Presentacion</t>
  </si>
  <si>
    <t>Obligatorio</t>
  </si>
  <si>
    <t>Video</t>
  </si>
  <si>
    <t>Lectura</t>
  </si>
  <si>
    <t>Optativo</t>
  </si>
  <si>
    <t>Ejercicio Demostrativo</t>
  </si>
  <si>
    <t>3. Área de Habilidades (Saber Hacer)</t>
  </si>
  <si>
    <t>Tiene que estar en un rango de 30 a 50 minutos</t>
  </si>
  <si>
    <t>Actividad 1 (Obligatoria)</t>
  </si>
  <si>
    <t>Competencia que predomina en la actividad</t>
  </si>
  <si>
    <t>Ejercicio practico</t>
  </si>
  <si>
    <t>Coloca el tiempo que usar en la actividad, un tiempo sugerido 30 minutos</t>
  </si>
  <si>
    <t>Descripcion de la Actividad</t>
  </si>
  <si>
    <t>El estudiante construirá gramáticas libres de contexto para reconocer lenguajes formales de complejidad progresiva, analizando derivaciones válidas, errores sintácticos y posibles ambigüedades. La actividad busca fortalecer la comprensión de cómo se modela formalmente la estructura de un lenguaje en el análisis sintáctico. 10min c/u</t>
  </si>
  <si>
    <t>L₁ = { aⁿbⁿ | n ≥ 1 }
Ejemplos válidos:
ab, aabb, aaabbb
Ejemplos inválidos:
aab, abb, aaabb</t>
  </si>
  <si>
    <t>L₂ = { id(id, id, ..., id) | cantidad de identificadores ≥ 1 }
Ejemplos válidos:
id
id,id
id,id,id
Ejemplos inválidos:
,id
id,
id,,id</t>
  </si>
  <si>
    <t>Expresiones formadas por identificadores, suma, multiplicación y agrupación con paréntesis.
Ejemplos válidos:
id+id
id*id
(id+id)*id
Ejemplos inválidos:
+id
id*
(id+id</t>
  </si>
  <si>
    <t>Actividad 2 (Optativa puedes hacerla si lo consideras apropiado)</t>
  </si>
  <si>
    <t>El estudiante desarrollará un ejercicio práctico orientado al análisis semántico de un lenguaje simplificado, mediante la construcción y aplicación de un esquema de traducción dirigido por la sintaxis. A partir de una gramática base y una tabla de símbolos, deberá verificar la corrección semántica de expresiones, asignaciones.
S → type id = E
type → int | float | bool
E → E + T | E - T | T
T → T * F | T / F | F
F → id | num | real | true | false | ( E )</t>
  </si>
  <si>
    <t>Verificar si una instrucción del tipo:
type id = E
es semánticamente correcta cuando la expresión resulta en tipo int.
Cadena a evaluar:
int x = 3 + 5 * 2</t>
  </si>
  <si>
    <t>Determinar si una instrucción es correcta cuando el tipo declarado no coincide con el tipo resultante de la expresión.
Cadena a evaluar:
bool bandera = 4 + 2</t>
  </si>
  <si>
    <t>Coloca el tiempo que usar en la actividad, un tiempo sugerido 20 minutos</t>
  </si>
  <si>
    <t>Dibuje el arbol de análisis sintáctico de las entradas previas</t>
  </si>
  <si>
    <t>3. Cierre</t>
  </si>
  <si>
    <t>Tiene que estar en un rango de 10 a 15 minutos</t>
  </si>
  <si>
    <t>Asignacion de Actividades</t>
  </si>
  <si>
    <t>Resuelve alguna duda, asigna las actividades que deben realizar, dudas de proyectos, etc</t>
  </si>
  <si>
    <t xml:space="preserve">Ética en la Gestión de Errores y Robustez </t>
  </si>
  <si>
    <t>Ética del Alcance</t>
  </si>
  <si>
    <t>Mantener el uso de variables dentro de su contexto lógico y justo.</t>
  </si>
  <si>
    <t xml:space="preserve">Se refiere a la honestidad y compromiso del desarrollador por gestionar los fallos de manera que el sistema sea resiliente. Implica diseñar software que priorice la seguridad del usuario ante entradas inesperadas, garantizando una operación estable, transparente y confiable. </t>
  </si>
  <si>
    <t>Saber reconocer hasta donde puede afectar un cambio es importante tanto en el ambito del manejo de funciones como en la vida profesional.</t>
  </si>
  <si>
    <t xml:space="preserve">En el contexto de Tipado Dinámico y Recuperación de Errores, este valor se aplica al diseñar mecanismos que manejen excepciones de forma clara. La robustez técnica asegura que el compilador proporcione una guía honesta al programador para corregir su código sin comprometer la integridad del sistema. </t>
  </si>
  <si>
    <t>El estudiante creará una version simplificada de la gramática para el reconocimiento de funciones, se buscara establecer el flujo requerido para el almacenamiento como un simbolo y la represntacion de una llamada.</t>
  </si>
  <si>
    <t>El estudiante implementará una versión simplificada del lenguaje trabajado en clase utilizando ANTLR, con el fin de reconocer expresiones, asignaciones y estructuras condicionales básicas. Posteriormente, probará entradas válidas e inválidas para observar cómo la herramienta detecta errores sintácticos y cómo puede extenderse para incorporar validaciones semánticas.</t>
  </si>
  <si>
    <t>Se darán avisos generales y resolveran dudas puntuales del proyecto en curso.</t>
  </si>
  <si>
    <t>Precisión</t>
  </si>
  <si>
    <t>Rigor</t>
  </si>
  <si>
    <t>ya que al aplicar técnicas de optimización y análisis de código, se requiere atención a los detalles para lograr mejoras reales y evitar errores.</t>
  </si>
  <si>
    <t>porque se trabaja con conceptos técnicos de bajo nivel, donde la precisión y estructura lógica son clave, especialmente en temas como ensamblador o representación en memoria.</t>
  </si>
  <si>
    <t>El control preciso de las relaciones y los tipos al momento de manejar herencia entre diversos objetos es importante para asegurar un sistema de tipos estable y potente.</t>
  </si>
  <si>
    <t>Un manejo cuidadoso de las equivalencias al traducir evitara problemas a futuro y simplificara la opitmizacion del codigo 3 direcciones a futuro.</t>
  </si>
  <si>
    <t xml:space="preserve">Evalua la representacion semantica de funciones y objetos mediante el análisis de alcance, tipos y tabla de simbolos para determinar su correcta representación en interpretes y compiladores </t>
  </si>
  <si>
    <t>otros</t>
  </si>
  <si>
    <t>Se realiza un ejemplo práctico guíado buscando ejemplificar la manera en que este funcinalidad se vería integrada en el proyecto.</t>
  </si>
  <si>
    <t>El estudiante debe descomponer una expresión aritmética en base a la técnica de descomposición de Código 3 direcciones, deberá anotar la manera en que se relaciona a una traducción dirigida por la sintaxis.</t>
  </si>
  <si>
    <t>Responsabilidad computacional</t>
  </si>
  <si>
    <t>El uso correcto de las tablas de símbolos ayudan a la eficiencia del programa</t>
  </si>
  <si>
    <t>El uso correcto de la memoria es importante para garantizar la seguridad de las aplicaciones, un manejo responsable evitara posibles exploits y peligros ocultos.</t>
  </si>
  <si>
    <t>Rigor técnico</t>
  </si>
  <si>
    <t xml:space="preserve">La traducción de funciones e instrucciones ocupa la mayor parte de complejidad en un compilador por lo que mejora su uso </t>
  </si>
  <si>
    <t xml:space="preserve">El uso de la memoria permite que los programas generados por el compilador tengan un rendimiento adecuado </t>
  </si>
  <si>
    <t>Avance con el proyecto compilador utilizando los nuevos conceptos.</t>
  </si>
  <si>
    <t>Ejemplo practico ilustrando el manejo de los saltos, stack y heap.</t>
  </si>
  <si>
    <t>Resolucion de dudas</t>
  </si>
  <si>
    <t>Organización y estructura</t>
  </si>
  <si>
    <t>El manejo de entornos y tabla de símbolos requiere una organización sistemática para gestionar correctamente el alcance de variables y sus valores.</t>
  </si>
  <si>
    <t>Practicas</t>
  </si>
  <si>
    <t>La sumatoria de los puntos de los practicas debe no debe super el  20%</t>
  </si>
  <si>
    <t>La sumatoria de los puntos de los proyectos debe superar el  60% del total de la nota, no puede ser un 100%</t>
  </si>
  <si>
    <t xml:space="preserve">La optimización es el paso que nos permite corregir aquello generado en el proceso de compilación lo que permite que el resultado final siempre sea óptimo </t>
  </si>
  <si>
    <t>1. Primera Practica</t>
  </si>
  <si>
    <t>1. Primer Proyecto</t>
  </si>
  <si>
    <t>Horas para realizarlo</t>
  </si>
  <si>
    <t>Obligatoria</t>
  </si>
  <si>
    <t>Titulo</t>
  </si>
  <si>
    <t>Qué tecnologías, lenguajes de programación, plataformas, hardware o software se utilizaran</t>
  </si>
  <si>
    <t>RustPi Interperter</t>
  </si>
  <si>
    <t>Descripción de lo que se realizara</t>
  </si>
  <si>
    <t xml:space="preserve">C#
ANTLR4
Linux
</t>
  </si>
  <si>
    <t>2. Segunda Practica</t>
  </si>
  <si>
    <t>Optativa</t>
  </si>
  <si>
    <t>Implementación de análisis lexico, semantico y sintactico para la elaboración de un intérprete.</t>
  </si>
  <si>
    <t>2. Segundo Proyecto</t>
  </si>
  <si>
    <t>No se pueden editar las competencias.</t>
  </si>
  <si>
    <t>Evalua la representacion semantica de funciones y objetos mediante el análisis de alcance, tipos y tabla de simbolos para determinar su correcta representación en interpretes y compiladores</t>
  </si>
  <si>
    <t>3. Tercera Practica</t>
  </si>
  <si>
    <t>Compilador de código</t>
  </si>
  <si>
    <t xml:space="preserve">Plataforma esperada: Linux, Lenguajes y Librerías: pendiente de confirmación por catedráticos. </t>
  </si>
  <si>
    <t>El estudiante realizará un compilador de código que retornará la traducción correspondiente en C3D o Assembly en base al texto de entrada proveído, el codigo resultado resultado deberá ser ejecutable ya sea en un interprete de terceros (playground web o instalación local) o con un emulador local (ej. QEMU) para confirmar que se haya generado correctamente. El estudiante debe evidenciar el proceso realizado con la generación de reportes (ej. Tabla de Simbolos, Tabla de Errores, Stack de Cuadruplas). Este proyecto deberá funcionar como una extensión del primer proyecto desarrollado</t>
  </si>
  <si>
    <t>4. Cuarta Practica</t>
  </si>
  <si>
    <t>3. Tercer Proyecto</t>
  </si>
  <si>
    <t>5. Quinta Practica</t>
  </si>
  <si>
    <t>6. Sexta Practica</t>
  </si>
  <si>
    <t>7. Septima Practica</t>
  </si>
  <si>
    <t>Codigo-Nombre</t>
  </si>
  <si>
    <t>Competencias</t>
  </si>
  <si>
    <t>17 - Área Social Humanística 1</t>
  </si>
  <si>
    <t>Aplica los conocimientos de su disciplina en la elaboración, fundamentación
 y defensa de argumentos para prevenir y resolver problemas complejos en
 su campo profesional, identificando y aplicando innovaciones.</t>
  </si>
  <si>
    <t>101 - Área Matemática Básica 1</t>
  </si>
  <si>
    <t>Identifica oportunidades y riesgos para la innovación y adaptación de
 conocimientos y tecnologías para resolver problemas.</t>
  </si>
  <si>
    <t>5 - Técnicas de Estudio e Investigación</t>
  </si>
  <si>
    <t>Aplica conocimientos tecnológicos con ética profesional y respetando y
 cuidando los recursos naturales, humanos y financieros.</t>
  </si>
  <si>
    <t>39 - Deportes 1</t>
  </si>
  <si>
    <t>Maneja e Interpreta adecuadamente datos masivos, sean estos
 estructurados o no estructurados, facilitando su visualización e interpretación
 de forma eficaz en apoyo a la toma de decisiones.</t>
  </si>
  <si>
    <t>6 - Idioma Tecnico 1</t>
  </si>
  <si>
    <t>Domina diversos recursos de comunicación con el objetivo de presentar
 adecuadamente sus propuestas a variados tipos de audiencias, en idioma
 español, inglés e idealmente en un tercer idioma acorde a las necesidades
 globales.</t>
  </si>
  <si>
    <t>La sumatoria de los puntos de los practicas debe no debe super el  10% de la nota</t>
  </si>
  <si>
    <t>19 - Área Social Humanística 2</t>
  </si>
  <si>
    <t>Tarea de fortalecimiento académico</t>
  </si>
  <si>
    <t>Identifica sus necesidades de actualización, capacitación y formación,
 durante su proceso formativo y en el ejercicio profesional, y busca los medios
 para cubrirlas por medios formales e informales, nacionales e
 internacionales, presenciales y en línea.</t>
  </si>
  <si>
    <t>Construye soluciones integrales trabajando en forma colaborativa y
 propositiva en equipos interdisciplinarios, en forma presencial o utilizando
 plataformas virtuales.</t>
  </si>
  <si>
    <t>103 - Área Matemática Básica 2</t>
  </si>
  <si>
    <t>Obligatoria se debe dejar en la sesion de diagnistico</t>
  </si>
  <si>
    <t>Comunica a diversos públicos, información de su campo profesional, en
 varios lenguajes y formatos de manera asertiva, clara, rigurosa y precisa, con
 el uso apropiado de recursos tecnológicos.</t>
  </si>
  <si>
    <t>960 - Matemática Para Computación 1</t>
  </si>
  <si>
    <t>Se comunica correctamente en su lengua oficial y utiliza una lengua
 extranjera con el dominio requerido para el ejercicio de su profesión.</t>
  </si>
  <si>
    <t>147 - Física Básica</t>
  </si>
  <si>
    <t>Lidera y colabora proactivamente en equipos de trabajo y en comunidades
 profesionales para el logro de objetivos y mejoramiento de la calidad de vida.</t>
  </si>
  <si>
    <t>40 - Deportes 2</t>
  </si>
  <si>
    <t>8 - Idioma Técnico 2</t>
  </si>
  <si>
    <t>795 - Logica de Sitemas</t>
  </si>
  <si>
    <t>962 - Matemática Para Computación 2</t>
  </si>
  <si>
    <t>770 - Introducción a ala programación y computación 1</t>
  </si>
  <si>
    <t>107 - Área Matemática Intermedia 1</t>
  </si>
  <si>
    <t>150 - Fisica 1</t>
  </si>
  <si>
    <t>1 - Ética Profesional</t>
  </si>
  <si>
    <t>9 - Idioma Técnico 3</t>
  </si>
  <si>
    <t>796 - Lenguajes Formales y de Programación</t>
  </si>
  <si>
    <t>771 - Introducción a la Programación y Computación 2</t>
  </si>
  <si>
    <t>112 - Área Matemática Intermedia 2</t>
  </si>
  <si>
    <t>114 - Área Matemática Intermedia 3</t>
  </si>
  <si>
    <t>152 - Física 2</t>
  </si>
  <si>
    <t>10 - Lógica</t>
  </si>
  <si>
    <t>11 - Idioma Técnico 4</t>
  </si>
  <si>
    <t>2025 - Prácticas Iniciales</t>
  </si>
  <si>
    <t>732 - Estadística 1</t>
  </si>
  <si>
    <t>777 - Organización de Lenguajes y Compiladores 1</t>
  </si>
  <si>
    <t>964 - Organización Computacional</t>
  </si>
  <si>
    <t>772 - Estructuras de Datos</t>
  </si>
  <si>
    <t>116 - Matemática Aplicada 3</t>
  </si>
  <si>
    <t>118 - Matemática Aplicada 1</t>
  </si>
  <si>
    <t>18 - Filosofía de la Ciencia</t>
  </si>
  <si>
    <t>722 - Teoría de Sistemas 1</t>
  </si>
  <si>
    <t>601 - Investigación de Operaciones 1</t>
  </si>
  <si>
    <t>14 - Economía</t>
  </si>
  <si>
    <t>778 - Arquitectura de Computadoras y Ensambladores 1</t>
  </si>
  <si>
    <t>773 - Manejo e Implementación de Archivos</t>
  </si>
  <si>
    <t>122 - Matemática Aplicada 4</t>
  </si>
  <si>
    <t>120 - Matemática Aplicada 2</t>
  </si>
  <si>
    <t>200 - Ingeniería Eléctrica 1</t>
  </si>
  <si>
    <t>724 - Teoría de Sistemas 2</t>
  </si>
  <si>
    <t>603 - Investigación de Operaciones 2</t>
  </si>
  <si>
    <t>734 - Estadística 2</t>
  </si>
  <si>
    <t>281 - Sistemas Operativos 1</t>
  </si>
  <si>
    <t>779 - Arquitectura de Computadoras y Ensambladores 2</t>
  </si>
  <si>
    <t>Diseño de Gramáticas Libres del Contexto para Lenguajes Simples</t>
  </si>
  <si>
    <t>970 - Redes de Computadoras 1</t>
  </si>
  <si>
    <t>774 - Sistemas de Bases de Datos 1</t>
  </si>
  <si>
    <t>2036 - Prácticas Intermedias</t>
  </si>
  <si>
    <t>285 - Sistemas Operativos 2</t>
  </si>
  <si>
    <t>975 - Redes de Computadoras 2</t>
  </si>
  <si>
    <t>775 - Sistemas de Bases de Datos 2</t>
  </si>
  <si>
    <t>283 - Análisis y Diseño de Sistemas 1</t>
  </si>
  <si>
    <t>797 - Seminario de Sistemas 1</t>
  </si>
  <si>
    <t>700 - Ingeniería Económica 1</t>
  </si>
  <si>
    <t>729 - Modelación y Simulación 1</t>
  </si>
  <si>
    <t>786 - Sistemas Organizacionales y Gerenciales 1</t>
  </si>
  <si>
    <t>972 - Inteligencia Artificial 1</t>
  </si>
  <si>
    <t>966 - Seguridad y Auditoría de Redes de Computadoras</t>
  </si>
  <si>
    <t>785 - Análisis y Diseño de Sistemas 2</t>
  </si>
  <si>
    <t>798 - Seminario de Sistemas 2</t>
  </si>
  <si>
    <t>788 - Sistemas Aplicados 1</t>
  </si>
  <si>
    <t>776 - Bases de Datos Avanzadas</t>
  </si>
  <si>
    <t>2009 - Prácticas Finales Ingeniería Ciencias y Sistemas</t>
  </si>
  <si>
    <t>720 - Modelación y Simulación 2</t>
  </si>
  <si>
    <t>787 - Sistemas Organizacionales y Gerenciales 2</t>
  </si>
  <si>
    <t>790 - Emprendedores de Negocios Informáticos</t>
  </si>
  <si>
    <t>968 - Inteligencia Artificial 2</t>
  </si>
  <si>
    <t>Que conocimientos base y competencias esenciales se deben reforzar que permitan al estudiante afrontar con mayor solidez los contenidos del curso</t>
  </si>
  <si>
    <t>974 - Redes de Nueva Generación</t>
  </si>
  <si>
    <t>780 - Software Avanzado</t>
  </si>
  <si>
    <t>789 - Sistemas Aplicados 2</t>
  </si>
  <si>
    <t>735 - Auditoría de Proyectos de Software</t>
  </si>
  <si>
    <t>Para abordar esta tarea con solidez, el estudiante debe reforzar los fundamentos de los lenguajes formales, incluyendo alfabetos, cadenas, derivaciones y la estructura de una gramática libre del contexto. Asimismo, se busca fortalecer la capacidad de modelar formalmente construcciones sintácticas simples y validar cadenas conforme a reglas de producción definidas.</t>
  </si>
  <si>
    <t>7999 - Seminario de Investigación EPS Sistemas</t>
  </si>
  <si>
    <t>799 - Seminario de Investigación</t>
  </si>
  <si>
    <t>90 - Programacion de Computadoras 1</t>
  </si>
  <si>
    <t>92 - Programacion de Computadoras 2</t>
  </si>
  <si>
    <t>667 - Programacion Comercial 1</t>
  </si>
  <si>
    <t>768 - Algoritmos</t>
  </si>
  <si>
    <t>0089 - Comunicación Asertiva</t>
  </si>
  <si>
    <t>1. Primera Tarea</t>
  </si>
  <si>
    <t>Análisis y Refinamiento de Gramáticas Complejas</t>
  </si>
  <si>
    <t>Esta tarea requiere consolidar conocimientos sobre ambigüedad gramatical, precedencia, asociatividad, factorización y recursión, con el fin de comprender cómo una gramática puede transformarse para facilitar su análisis sintáctico. En términos de competencias, se promueve la habilidad de diagnosticar problemas estructurales y rediseñar gramáticas de manera formal, precisa y funcional.</t>
  </si>
  <si>
    <t>2. Segunda Tarea</t>
  </si>
  <si>
    <t>Construcción de Esquemas de Traducción con Reglas Semánticas</t>
  </si>
  <si>
    <t>Para desarrollar esta tarea, es necesario reforzar la comprensión de árboles sintácticos, atributos, acciones semánticas y principios básicos del análisis semántico. A nivel competencial, se pretende que el estudiante asocie significado a las estructuras sintácticas y diseñe mecanismos de traducción que permitan evaluar, verificar o transformar información de manera estructurada.</t>
  </si>
  <si>
    <t>3. Tercera Tarea</t>
  </si>
  <si>
    <t>Generación de Código Intermedio de Tres Direcciones</t>
  </si>
  <si>
    <t>El estudiante debe afianzar conocimientos relacionados con la traducción dirigida por la sintaxis, la representación intermedia, el uso de temporales, etiquetas y estructuras básicas de control de flujo. Esta tarea fortalece la competencia de transformar construcciones de alto nivel en representaciones intermedias organizadas, comprensibles y aptas para fases posteriores del proceso de compilación.</t>
  </si>
  <si>
    <t>4. Cuarta Tarea</t>
  </si>
  <si>
    <t>Análisis y Optimización de Código Intermedio</t>
  </si>
  <si>
    <t>Para esta tarea, es fundamental reforzar conceptos como bloques básicos, grafos de flujo, subexpresiones comunes, propagación de copias y equivalencia semántica en el código. En cuanto a competencias, se busca desarrollar la capacidad de analizar representaciones intermedias, detectar redundancias y aplicar optimizaciones correctas orientadas a mejorar la eficiencia del programa.</t>
  </si>
  <si>
    <t>5. Quinta Tarea</t>
  </si>
  <si>
    <t>6. Sexta Tarea</t>
  </si>
  <si>
    <t>7. Septima Tarea</t>
  </si>
</sst>
</file>

<file path=xl/styles.xml><?xml version="1.0" encoding="utf-8"?>
<styleSheet xmlns="http://schemas.openxmlformats.org/spreadsheetml/2006/main" xmlns:x14ac="http://schemas.microsoft.com/office/spreadsheetml/2009/9/ac" xmlns:mc="http://schemas.openxmlformats.org/markup-compatibility/2006">
  <fonts count="27">
    <font>
      <sz val="10.0"/>
      <color rgb="FF000000"/>
      <name val="Arial"/>
      <scheme val="minor"/>
    </font>
    <font>
      <color theme="1"/>
      <name val="Arial"/>
    </font>
    <font>
      <color theme="1"/>
      <name val="Arial"/>
      <scheme val="minor"/>
    </font>
    <font>
      <b/>
      <sz val="12.0"/>
      <color rgb="FFFBBC04"/>
      <name val="Arial"/>
    </font>
    <font>
      <b/>
      <color theme="1"/>
      <name val="Arial"/>
    </font>
    <font>
      <b/>
      <sz val="12.0"/>
      <color rgb="FFFF6D01"/>
      <name val="Arial"/>
    </font>
    <font>
      <color rgb="FFFFFFFF"/>
      <name val="Arial"/>
    </font>
    <font>
      <b/>
      <sz val="12.0"/>
      <color theme="8"/>
      <name val="Arial"/>
    </font>
    <font>
      <sz val="12.0"/>
      <color rgb="FFB7B7B7"/>
      <name val="Arial"/>
    </font>
    <font>
      <color rgb="FFB7B7B7"/>
      <name val="Arial"/>
    </font>
    <font>
      <b/>
      <sz val="12.0"/>
      <color theme="1"/>
      <name val="Arial"/>
    </font>
    <font>
      <b/>
      <sz val="11.0"/>
      <color theme="1"/>
      <name val="Arial"/>
    </font>
    <font/>
    <font>
      <sz val="12.0"/>
      <color rgb="FF404040"/>
      <name val="Inter"/>
    </font>
    <font>
      <sz val="12.0"/>
      <color theme="1"/>
      <name val="Arial"/>
    </font>
    <font>
      <b/>
      <sz val="13.0"/>
      <color theme="4"/>
      <name val="Arial"/>
    </font>
    <font>
      <b/>
      <sz val="12.0"/>
      <color theme="4"/>
      <name val="Arial"/>
    </font>
    <font>
      <color rgb="FF999999"/>
      <name val="Arial"/>
    </font>
    <font>
      <b/>
      <sz val="13.0"/>
      <color rgb="FF4285F4"/>
      <name val="Arial"/>
    </font>
    <font>
      <b/>
      <sz val="12.0"/>
      <color rgb="FF4285F4"/>
      <name val="Arial"/>
    </font>
    <font>
      <sz val="11.0"/>
      <color theme="1"/>
      <name val="Arial"/>
    </font>
    <font>
      <u/>
      <color theme="1"/>
      <name val="Arial"/>
    </font>
    <font>
      <b/>
      <sz val="12.0"/>
      <color rgb="FFFFFFFF"/>
      <name val="Arial"/>
    </font>
    <font>
      <color rgb="FFCCCCCC"/>
      <name val="Arial"/>
    </font>
    <font>
      <color rgb="FFD9D9D9"/>
      <name val="Arial"/>
    </font>
    <font>
      <color rgb="FF1B6EF3"/>
      <name val="Inconsolata"/>
    </font>
    <font>
      <color rgb="FF000000"/>
      <name val="Arial"/>
    </font>
  </fonts>
  <fills count="19">
    <fill>
      <patternFill patternType="none"/>
    </fill>
    <fill>
      <patternFill patternType="lightGray"/>
    </fill>
    <fill>
      <patternFill patternType="solid">
        <fgColor rgb="FFEFEFEF"/>
        <bgColor rgb="FFEFEFEF"/>
      </patternFill>
    </fill>
    <fill>
      <patternFill patternType="solid">
        <fgColor rgb="FFFFF2CC"/>
        <bgColor rgb="FFFFF2CC"/>
      </patternFill>
    </fill>
    <fill>
      <patternFill patternType="solid">
        <fgColor rgb="FFFFFFFF"/>
        <bgColor rgb="FFFFFFFF"/>
      </patternFill>
    </fill>
    <fill>
      <patternFill patternType="solid">
        <fgColor rgb="FFF3F3F3"/>
        <bgColor rgb="FFF3F3F3"/>
      </patternFill>
    </fill>
    <fill>
      <patternFill patternType="solid">
        <fgColor rgb="FF4285F4"/>
        <bgColor rgb="FF4285F4"/>
      </patternFill>
    </fill>
    <fill>
      <patternFill patternType="solid">
        <fgColor rgb="FFD9D9D9"/>
        <bgColor rgb="FFD9D9D9"/>
      </patternFill>
    </fill>
    <fill>
      <patternFill patternType="solid">
        <fgColor rgb="FFCFE2F3"/>
        <bgColor rgb="FFCFE2F3"/>
      </patternFill>
    </fill>
    <fill>
      <patternFill patternType="solid">
        <fgColor rgb="FFFFFF00"/>
        <bgColor rgb="FFFFFF00"/>
      </patternFill>
    </fill>
    <fill>
      <patternFill patternType="solid">
        <fgColor rgb="FFFF0000"/>
        <bgColor rgb="FFFF0000"/>
      </patternFill>
    </fill>
    <fill>
      <patternFill patternType="solid">
        <fgColor rgb="FFFF00FF"/>
        <bgColor rgb="FFFF00FF"/>
      </patternFill>
    </fill>
    <fill>
      <patternFill patternType="solid">
        <fgColor rgb="FF00FF00"/>
        <bgColor rgb="FF00FF00"/>
      </patternFill>
    </fill>
    <fill>
      <patternFill patternType="solid">
        <fgColor rgb="FF4A86E8"/>
        <bgColor rgb="FF4A86E8"/>
      </patternFill>
    </fill>
    <fill>
      <patternFill patternType="solid">
        <fgColor rgb="FFEAD1DC"/>
        <bgColor rgb="FFEAD1DC"/>
      </patternFill>
    </fill>
    <fill>
      <patternFill patternType="solid">
        <fgColor rgb="FFD9EAD3"/>
        <bgColor rgb="FFD9EAD3"/>
      </patternFill>
    </fill>
    <fill>
      <patternFill patternType="solid">
        <fgColor rgb="FFCCCCCC"/>
        <bgColor rgb="FFCCCCCC"/>
      </patternFill>
    </fill>
    <fill>
      <patternFill patternType="solid">
        <fgColor theme="4"/>
        <bgColor theme="4"/>
      </patternFill>
    </fill>
    <fill>
      <patternFill patternType="solid">
        <fgColor rgb="FFB7B7B7"/>
        <bgColor rgb="FFB7B7B7"/>
      </patternFill>
    </fill>
  </fills>
  <borders count="25">
    <border/>
    <border>
      <left style="thin">
        <color rgb="FF000000"/>
      </left>
      <right style="thin">
        <color rgb="FF000000"/>
      </right>
      <top style="thin">
        <color rgb="FF000000"/>
      </top>
      <bottom style="thin">
        <color rgb="FF000000"/>
      </bottom>
    </border>
    <border>
      <left style="double">
        <color rgb="FF434343"/>
      </left>
      <right style="double">
        <color rgb="FF434343"/>
      </right>
      <top style="double">
        <color rgb="FF434343"/>
      </top>
      <bottom style="double">
        <color rgb="FF434343"/>
      </bottom>
    </border>
    <border>
      <left style="double">
        <color rgb="FF434343"/>
      </left>
      <top style="double">
        <color rgb="FF434343"/>
      </top>
      <bottom style="double">
        <color rgb="FF434343"/>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double">
        <color rgb="FF434343"/>
      </top>
      <bottom style="double">
        <color rgb="FF434343"/>
      </bottom>
    </border>
    <border>
      <right style="double">
        <color rgb="FF434343"/>
      </right>
      <top style="double">
        <color rgb="FF434343"/>
      </top>
      <bottom style="double">
        <color rgb="FF434343"/>
      </bottom>
    </border>
    <border>
      <left style="double">
        <color rgb="FF434343"/>
      </left>
      <right style="double">
        <color rgb="FF434343"/>
      </right>
      <top style="double">
        <color rgb="FF434343"/>
      </top>
    </border>
    <border>
      <left style="double">
        <color rgb="FF434343"/>
      </left>
      <top style="double">
        <color rgb="FF434343"/>
      </top>
    </border>
    <border>
      <top style="double">
        <color rgb="FF434343"/>
      </top>
    </border>
    <border>
      <right style="double">
        <color rgb="FF434343"/>
      </right>
      <top style="double">
        <color rgb="FF434343"/>
      </top>
    </border>
    <border>
      <left style="dotted">
        <color rgb="FF000000"/>
      </left>
      <right style="dotted">
        <color rgb="FF000000"/>
      </right>
      <top style="dotted">
        <color rgb="FF000000"/>
      </top>
      <bottom style="dotted">
        <color rgb="FF000000"/>
      </bottom>
    </border>
    <border>
      <left style="dotted">
        <color rgb="FF000000"/>
      </left>
      <top style="dotted">
        <color rgb="FF000000"/>
      </top>
      <bottom style="dotted">
        <color rgb="FF000000"/>
      </bottom>
    </border>
    <border>
      <top style="dotted">
        <color rgb="FF000000"/>
      </top>
      <bottom style="dotted">
        <color rgb="FF000000"/>
      </bottom>
    </border>
    <border>
      <right style="dotted">
        <color rgb="FF000000"/>
      </right>
      <top style="dotted">
        <color rgb="FF000000"/>
      </top>
      <bottom style="dotted">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14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center" wrapText="1"/>
    </xf>
    <xf borderId="0" fillId="0" fontId="3" numFmtId="0" xfId="0" applyAlignment="1" applyFont="1">
      <alignment horizontal="center" vertical="bottom"/>
    </xf>
    <xf borderId="0" fillId="0" fontId="1" numFmtId="0" xfId="0" applyAlignment="1" applyFont="1">
      <alignment shrinkToFit="0" wrapText="1"/>
    </xf>
    <xf borderId="0" fillId="0" fontId="2" numFmtId="0" xfId="0" applyAlignment="1" applyFont="1">
      <alignment horizontal="center" shrinkToFit="0" vertical="center" wrapText="1"/>
    </xf>
    <xf borderId="0" fillId="0" fontId="4" numFmtId="0" xfId="0" applyFont="1"/>
    <xf borderId="0" fillId="0" fontId="5" numFmtId="0" xfId="0" applyFont="1"/>
    <xf borderId="0" fillId="0" fontId="6" numFmtId="0" xfId="0" applyAlignment="1" applyFont="1">
      <alignment shrinkToFit="0" vertical="center" wrapText="1"/>
    </xf>
    <xf borderId="0" fillId="0" fontId="7" numFmtId="0" xfId="0" applyAlignment="1" applyFont="1">
      <alignment shrinkToFit="0" vertical="center" wrapText="1"/>
    </xf>
    <xf borderId="0" fillId="0" fontId="4" numFmtId="0" xfId="0" applyAlignment="1" applyFont="1">
      <alignment shrinkToFit="0" vertical="center" wrapText="1"/>
    </xf>
    <xf borderId="0" fillId="0" fontId="7" numFmtId="0" xfId="0" applyFont="1"/>
    <xf borderId="1" fillId="0" fontId="4" numFmtId="0" xfId="0" applyBorder="1" applyFont="1"/>
    <xf borderId="0" fillId="0" fontId="4" numFmtId="0" xfId="0" applyAlignment="1" applyFont="1">
      <alignment readingOrder="0"/>
    </xf>
    <xf borderId="0" fillId="0" fontId="4" numFmtId="0" xfId="0" applyAlignment="1" applyFont="1">
      <alignment readingOrder="0" shrinkToFit="0" vertical="center" wrapText="1"/>
    </xf>
    <xf borderId="0" fillId="0" fontId="4" numFmtId="0" xfId="0" applyAlignment="1" applyFont="1">
      <alignment shrinkToFit="0" wrapText="1"/>
    </xf>
    <xf borderId="0" fillId="0" fontId="1" numFmtId="0" xfId="0" applyFont="1"/>
    <xf borderId="0" fillId="0" fontId="1" numFmtId="0" xfId="0" applyAlignment="1" applyFont="1">
      <alignment shrinkToFit="0" vertical="center" wrapText="1"/>
    </xf>
    <xf borderId="0" fillId="0" fontId="1" numFmtId="0" xfId="0" applyAlignment="1" applyFont="1">
      <alignment readingOrder="0" vertical="bottom"/>
    </xf>
    <xf borderId="0" fillId="0" fontId="8" numFmtId="0" xfId="0" applyAlignment="1" applyFont="1">
      <alignment shrinkToFit="0" wrapText="1"/>
    </xf>
    <xf borderId="0" fillId="0" fontId="9" numFmtId="0" xfId="0" applyAlignment="1" applyFont="1">
      <alignment shrinkToFit="0" vertical="center" wrapText="1"/>
    </xf>
    <xf borderId="2" fillId="2" fontId="10" numFmtId="0" xfId="0" applyAlignment="1" applyBorder="1" applyFill="1" applyFont="1">
      <alignment shrinkToFit="0" vertical="bottom" wrapText="1"/>
    </xf>
    <xf borderId="0" fillId="0" fontId="11" numFmtId="0" xfId="0" applyAlignment="1" applyFont="1">
      <alignment shrinkToFit="0" vertical="center" wrapText="1"/>
    </xf>
    <xf borderId="3" fillId="2" fontId="10" numFmtId="0" xfId="0" applyAlignment="1" applyBorder="1" applyFill="1" applyFont="1">
      <alignment shrinkToFit="0" vertical="bottom" wrapText="1"/>
    </xf>
    <xf borderId="1" fillId="0" fontId="11" numFmtId="0" xfId="0" applyAlignment="1" applyBorder="1" applyFont="1">
      <alignment horizontal="center" shrinkToFit="0" vertical="center" wrapText="1"/>
    </xf>
    <xf borderId="4" fillId="0" fontId="1" numFmtId="0" xfId="0" applyBorder="1" applyFont="1"/>
    <xf borderId="0" fillId="0" fontId="1" numFmtId="0" xfId="0" applyAlignment="1" applyFont="1">
      <alignment horizontal="center" shrinkToFit="0" vertical="center" wrapText="1"/>
    </xf>
    <xf borderId="5" fillId="0" fontId="12" numFmtId="0" xfId="0" applyBorder="1" applyFont="1"/>
    <xf borderId="0" fillId="0" fontId="1" numFmtId="0" xfId="0" applyAlignment="1" applyFont="1">
      <alignment horizontal="center" readingOrder="0" shrinkToFit="0" vertical="center" wrapText="1"/>
    </xf>
    <xf borderId="6" fillId="0" fontId="12" numFmtId="0" xfId="0" applyBorder="1" applyFont="1"/>
    <xf borderId="4" fillId="3" fontId="13" numFmtId="0" xfId="0" applyAlignment="1" applyBorder="1" applyFill="1" applyFont="1">
      <alignment horizontal="center" shrinkToFit="0" vertical="bottom" wrapText="1"/>
    </xf>
    <xf borderId="7" fillId="0" fontId="12" numFmtId="0" xfId="0" applyBorder="1" applyFont="1"/>
    <xf borderId="1" fillId="0" fontId="1" numFmtId="0" xfId="0" applyBorder="1" applyFont="1"/>
    <xf borderId="0" fillId="0" fontId="1" numFmtId="0" xfId="0" applyAlignment="1" applyFont="1">
      <alignment horizontal="center" shrinkToFit="0" vertical="center" wrapText="1"/>
    </xf>
    <xf borderId="8" fillId="0" fontId="12" numFmtId="0" xfId="0" applyBorder="1" applyFont="1"/>
    <xf borderId="1" fillId="4" fontId="13" numFmtId="0" xfId="0" applyAlignment="1" applyBorder="1" applyFill="1" applyFont="1">
      <alignment horizontal="center" shrinkToFit="0" vertical="bottom" wrapText="1"/>
    </xf>
    <xf borderId="0" fillId="5" fontId="1" numFmtId="0" xfId="0" applyAlignment="1" applyFill="1" applyFont="1">
      <alignment shrinkToFit="0" vertical="bottom" wrapText="1"/>
    </xf>
    <xf borderId="0" fillId="0" fontId="2" numFmtId="0" xfId="0" applyAlignment="1" applyFont="1">
      <alignment horizontal="center" readingOrder="0" shrinkToFit="0" vertical="center" wrapText="1"/>
    </xf>
    <xf borderId="2" fillId="0" fontId="14" numFmtId="0" xfId="0" applyAlignment="1" applyBorder="1" applyFont="1">
      <alignment shrinkToFit="0" vertical="bottom" wrapText="1"/>
    </xf>
    <xf borderId="4" fillId="0" fontId="1" numFmtId="0" xfId="0" applyAlignment="1" applyBorder="1" applyFont="1">
      <alignment readingOrder="0" vertical="bottom"/>
    </xf>
    <xf borderId="0" fillId="0" fontId="15" numFmtId="0" xfId="0" applyFont="1"/>
    <xf borderId="0" fillId="4" fontId="1" numFmtId="0" xfId="0" applyAlignment="1" applyFill="1" applyFont="1">
      <alignment vertical="bottom"/>
    </xf>
    <xf borderId="0" fillId="0" fontId="16" numFmtId="0" xfId="0" applyAlignment="1" applyFont="1">
      <alignment shrinkToFit="0" wrapText="1"/>
    </xf>
    <xf borderId="0" fillId="0" fontId="2" numFmtId="0" xfId="0" applyAlignment="1" applyFont="1">
      <alignment horizontal="center" readingOrder="0" shrinkToFit="0" wrapText="1"/>
    </xf>
    <xf borderId="0" fillId="6" fontId="6" numFmtId="0" xfId="0" applyAlignment="1" applyFill="1" applyFont="1">
      <alignment readingOrder="0"/>
    </xf>
    <xf borderId="1" fillId="4" fontId="13" numFmtId="0" xfId="0" applyAlignment="1" applyBorder="1" applyFill="1" applyFont="1">
      <alignment horizontal="center" vertical="bottom"/>
    </xf>
    <xf borderId="0" fillId="0" fontId="17" numFmtId="0" xfId="0" applyAlignment="1" applyFont="1">
      <alignment readingOrder="0"/>
    </xf>
    <xf borderId="2" fillId="0" fontId="1" numFmtId="3" xfId="0" applyAlignment="1" applyBorder="1" applyFont="1" applyNumberFormat="1">
      <alignment horizontal="right" readingOrder="0" vertical="bottom"/>
    </xf>
    <xf borderId="1" fillId="0" fontId="14" numFmtId="0" xfId="0" applyAlignment="1" applyBorder="1" applyFont="1">
      <alignment horizontal="center" vertical="bottom"/>
    </xf>
    <xf borderId="1" fillId="7" fontId="1" numFmtId="0" xfId="0" applyAlignment="1" applyBorder="1" applyFill="1" applyFont="1">
      <alignment shrinkToFit="0" vertical="bottom" wrapText="1"/>
    </xf>
    <xf borderId="2" fillId="0" fontId="1" numFmtId="0" xfId="0" applyAlignment="1" applyBorder="1" applyFont="1">
      <alignment readingOrder="0" vertical="bottom"/>
    </xf>
    <xf borderId="0" fillId="0" fontId="1" numFmtId="0" xfId="0" applyAlignment="1" applyFont="1">
      <alignment horizontal="center" shrinkToFit="0" wrapText="1"/>
    </xf>
    <xf borderId="3" fillId="0" fontId="1" numFmtId="0" xfId="0" applyAlignment="1" applyBorder="1" applyFont="1">
      <alignment vertical="bottom"/>
    </xf>
    <xf borderId="4" fillId="0" fontId="1" numFmtId="0" xfId="0" applyAlignment="1" applyBorder="1" applyFont="1">
      <alignment vertical="bottom"/>
    </xf>
    <xf borderId="0" fillId="5" fontId="1" numFmtId="0" xfId="0" applyAlignment="1" applyFill="1" applyFont="1">
      <alignment horizontal="right" vertical="bottom"/>
    </xf>
    <xf borderId="2" fillId="0" fontId="14" numFmtId="0" xfId="0" applyAlignment="1" applyBorder="1" applyFont="1">
      <alignment vertical="bottom"/>
    </xf>
    <xf borderId="1" fillId="8" fontId="11" numFmtId="0" xfId="0" applyAlignment="1" applyBorder="1" applyFill="1" applyFont="1">
      <alignment horizontal="center" vertical="bottom"/>
    </xf>
    <xf borderId="1" fillId="7" fontId="1" numFmtId="0" xfId="0" applyAlignment="1" applyBorder="1" applyFill="1" applyFont="1">
      <alignment shrinkToFit="0" wrapText="1"/>
    </xf>
    <xf borderId="2" fillId="0" fontId="1" numFmtId="0" xfId="0" applyAlignment="1" applyBorder="1" applyFont="1">
      <alignment horizontal="right" readingOrder="0" vertical="bottom"/>
    </xf>
    <xf borderId="4" fillId="8" fontId="11" numFmtId="0" xfId="0" applyAlignment="1" applyBorder="1" applyFill="1" applyFont="1">
      <alignment horizontal="center" vertical="bottom"/>
    </xf>
    <xf borderId="4" fillId="0" fontId="1" numFmtId="0" xfId="0" applyAlignment="1" applyBorder="1" applyFont="1">
      <alignment readingOrder="0"/>
    </xf>
    <xf borderId="1" fillId="8" fontId="11" numFmtId="0" xfId="0" applyAlignment="1" applyBorder="1" applyFill="1" applyFont="1">
      <alignment horizontal="center" shrinkToFit="0" vertical="bottom" wrapText="1"/>
    </xf>
    <xf borderId="0" fillId="0" fontId="2" numFmtId="0" xfId="0" applyAlignment="1" applyFont="1">
      <alignment horizontal="center" readingOrder="0" vertical="center"/>
    </xf>
    <xf borderId="4" fillId="8" fontId="11" numFmtId="0" xfId="0" applyAlignment="1" applyBorder="1" applyFill="1" applyFont="1">
      <alignment horizontal="center" shrinkToFit="0" vertical="bottom" wrapText="1"/>
    </xf>
    <xf borderId="2" fillId="0" fontId="1" numFmtId="0" xfId="0" applyAlignment="1" applyBorder="1" applyFont="1">
      <alignment horizontal="right" vertical="bottom"/>
    </xf>
    <xf borderId="1" fillId="7" fontId="1" numFmtId="0" xfId="0" applyBorder="1" applyFill="1" applyFont="1"/>
    <xf borderId="1" fillId="0" fontId="1" numFmtId="0" xfId="0" applyAlignment="1" applyBorder="1" applyFont="1">
      <alignment horizontal="right" vertical="bottom"/>
    </xf>
    <xf borderId="1" fillId="0" fontId="11" numFmtId="0" xfId="0" applyAlignment="1" applyBorder="1" applyFont="1">
      <alignment readingOrder="0" vertical="bottom"/>
    </xf>
    <xf borderId="2" fillId="0" fontId="1" numFmtId="0" xfId="0" applyAlignment="1" applyBorder="1" applyFont="1">
      <alignment vertical="bottom"/>
    </xf>
    <xf borderId="0" fillId="0" fontId="18" numFmtId="0" xfId="0" applyFont="1"/>
    <xf borderId="1" fillId="9" fontId="1" numFmtId="0" xfId="0" applyAlignment="1" applyBorder="1" applyFill="1" applyFont="1">
      <alignment readingOrder="0" vertical="bottom"/>
    </xf>
    <xf borderId="9" fillId="0" fontId="14" numFmtId="0" xfId="0" applyAlignment="1" applyBorder="1" applyFont="1">
      <alignment vertical="bottom"/>
    </xf>
    <xf borderId="0" fillId="6" fontId="6" numFmtId="0" xfId="0" applyFill="1" applyFont="1"/>
    <xf borderId="4" fillId="10" fontId="1" numFmtId="0" xfId="0" applyAlignment="1" applyBorder="1" applyFill="1" applyFont="1">
      <alignment readingOrder="0" vertical="bottom"/>
    </xf>
    <xf borderId="9" fillId="0" fontId="1" numFmtId="0" xfId="0" applyAlignment="1" applyBorder="1" applyFont="1">
      <alignment horizontal="right" readingOrder="0" vertical="bottom"/>
    </xf>
    <xf borderId="1" fillId="11" fontId="1" numFmtId="0" xfId="0" applyAlignment="1" applyBorder="1" applyFill="1" applyFont="1">
      <alignment readingOrder="0" vertical="bottom"/>
    </xf>
    <xf borderId="4" fillId="12" fontId="1" numFmtId="0" xfId="0" applyAlignment="1" applyBorder="1" applyFill="1" applyFont="1">
      <alignment readingOrder="0" vertical="bottom"/>
    </xf>
    <xf borderId="10" fillId="0" fontId="1" numFmtId="0" xfId="0" applyAlignment="1" applyBorder="1" applyFont="1">
      <alignment vertical="bottom"/>
    </xf>
    <xf borderId="11" fillId="0" fontId="12" numFmtId="0" xfId="0" applyBorder="1" applyFont="1"/>
    <xf borderId="0" fillId="0" fontId="19" numFmtId="0" xfId="0" applyAlignment="1" applyFont="1">
      <alignment shrinkToFit="0" wrapText="1"/>
    </xf>
    <xf borderId="12" fillId="0" fontId="12" numFmtId="0" xfId="0" applyBorder="1" applyFont="1"/>
    <xf borderId="1" fillId="13" fontId="1" numFmtId="0" xfId="0" applyAlignment="1" applyBorder="1" applyFill="1" applyFont="1">
      <alignment readingOrder="0" vertical="bottom"/>
    </xf>
    <xf borderId="1" fillId="7" fontId="10" numFmtId="0" xfId="0" applyAlignment="1" applyBorder="1" applyFill="1" applyFont="1">
      <alignment shrinkToFit="0" vertical="bottom" wrapText="1"/>
    </xf>
    <xf borderId="1" fillId="4" fontId="1" numFmtId="0" xfId="0" applyAlignment="1" applyBorder="1" applyFill="1" applyFont="1">
      <alignment vertical="bottom"/>
    </xf>
    <xf borderId="0" fillId="0" fontId="17" numFmtId="0" xfId="0" applyFont="1"/>
    <xf borderId="1" fillId="7" fontId="1" numFmtId="3" xfId="0" applyAlignment="1" applyBorder="1" applyFill="1" applyFont="1" applyNumberFormat="1">
      <alignment horizontal="right" vertical="bottom"/>
    </xf>
    <xf borderId="1" fillId="7" fontId="1" numFmtId="0" xfId="0" applyAlignment="1" applyBorder="1" applyFill="1" applyFont="1">
      <alignment horizontal="right" vertical="bottom"/>
    </xf>
    <xf borderId="13" fillId="14" fontId="10" numFmtId="0" xfId="0" applyAlignment="1" applyBorder="1" applyFill="1" applyFont="1">
      <alignment shrinkToFit="0" vertical="bottom" wrapText="1"/>
    </xf>
    <xf borderId="4" fillId="15" fontId="20" numFmtId="0" xfId="0" applyAlignment="1" applyBorder="1" applyFill="1" applyFont="1">
      <alignment horizontal="center" shrinkToFit="0" vertical="bottom" wrapText="1"/>
    </xf>
    <xf borderId="1" fillId="0" fontId="11" numFmtId="0" xfId="0" applyAlignment="1" applyBorder="1" applyFont="1">
      <alignment vertical="bottom"/>
    </xf>
    <xf borderId="0" fillId="0" fontId="9" numFmtId="0" xfId="0" applyFont="1"/>
    <xf borderId="14" fillId="14" fontId="1" numFmtId="0" xfId="0" applyAlignment="1" applyBorder="1" applyFill="1" applyFont="1">
      <alignment shrinkToFit="0" vertical="bottom" wrapText="1"/>
    </xf>
    <xf borderId="15" fillId="0" fontId="12" numFmtId="0" xfId="0" applyBorder="1" applyFont="1"/>
    <xf borderId="16" fillId="0" fontId="12" numFmtId="0" xfId="0" applyBorder="1" applyFont="1"/>
    <xf borderId="1" fillId="7" fontId="1" numFmtId="0" xfId="0" applyAlignment="1" applyBorder="1" applyFill="1" applyFont="1">
      <alignment readingOrder="0"/>
    </xf>
    <xf borderId="4" fillId="0" fontId="1" numFmtId="0" xfId="0" applyAlignment="1" applyBorder="1" applyFont="1">
      <alignment readingOrder="0" shrinkToFit="0" wrapText="1"/>
    </xf>
    <xf borderId="0" fillId="0" fontId="19" numFmtId="0" xfId="0" applyAlignment="1" applyFont="1">
      <alignment readingOrder="0"/>
    </xf>
    <xf borderId="1" fillId="16" fontId="1" numFmtId="0" xfId="0" applyBorder="1" applyFill="1" applyFont="1"/>
    <xf borderId="4" fillId="16" fontId="1" numFmtId="0" xfId="0" applyBorder="1" applyFill="1" applyFont="1"/>
    <xf borderId="0" fillId="0" fontId="21" numFmtId="0" xfId="0" applyAlignment="1" applyFont="1">
      <alignment readingOrder="0" vertical="bottom"/>
    </xf>
    <xf borderId="4" fillId="5" fontId="1" numFmtId="0" xfId="0" applyAlignment="1" applyBorder="1" applyFill="1" applyFont="1">
      <alignment vertical="bottom"/>
    </xf>
    <xf borderId="17" fillId="0" fontId="1" numFmtId="0" xfId="0" applyAlignment="1" applyBorder="1" applyFont="1">
      <alignment vertical="bottom"/>
    </xf>
    <xf borderId="18" fillId="0" fontId="12" numFmtId="0" xfId="0" applyBorder="1" applyFont="1"/>
    <xf borderId="19" fillId="0" fontId="12" numFmtId="0" xfId="0" applyBorder="1" applyFont="1"/>
    <xf borderId="20" fillId="0" fontId="12" numFmtId="0" xfId="0" applyBorder="1" applyFont="1"/>
    <xf borderId="21" fillId="0" fontId="12" numFmtId="0" xfId="0" applyBorder="1" applyFont="1"/>
    <xf borderId="22" fillId="0" fontId="12" numFmtId="0" xfId="0" applyBorder="1" applyFont="1"/>
    <xf borderId="4" fillId="15" fontId="1" numFmtId="0" xfId="0" applyAlignment="1" applyBorder="1" applyFill="1" applyFont="1">
      <alignment horizontal="center"/>
    </xf>
    <xf borderId="1" fillId="0" fontId="1" numFmtId="0" xfId="0" applyAlignment="1" applyBorder="1" applyFont="1">
      <alignment shrinkToFit="0" wrapText="1"/>
    </xf>
    <xf borderId="4" fillId="0" fontId="1" numFmtId="4" xfId="0" applyBorder="1" applyFont="1" applyNumberFormat="1"/>
    <xf borderId="4" fillId="0" fontId="1" numFmtId="0" xfId="0" applyAlignment="1" applyBorder="1" applyFont="1">
      <alignment horizontal="center"/>
    </xf>
    <xf borderId="0" fillId="0" fontId="19" numFmtId="0" xfId="0" applyFont="1"/>
    <xf borderId="0" fillId="17" fontId="22" numFmtId="0" xfId="0" applyAlignment="1" applyFill="1" applyFont="1">
      <alignment readingOrder="0"/>
    </xf>
    <xf borderId="4" fillId="7" fontId="1" numFmtId="0" xfId="0" applyBorder="1" applyFill="1" applyFont="1"/>
    <xf borderId="17" fillId="0" fontId="1" numFmtId="0" xfId="0" applyAlignment="1" applyBorder="1" applyFont="1">
      <alignment readingOrder="0" shrinkToFit="0" wrapText="1"/>
    </xf>
    <xf borderId="0" fillId="17" fontId="22" numFmtId="0" xfId="0" applyFill="1" applyFont="1"/>
    <xf borderId="0" fillId="0" fontId="16" numFmtId="0" xfId="0" applyFont="1"/>
    <xf borderId="1" fillId="18" fontId="1" numFmtId="0" xfId="0" applyAlignment="1" applyBorder="1" applyFill="1" applyFont="1">
      <alignment shrinkToFit="0" wrapText="1"/>
    </xf>
    <xf borderId="4" fillId="18" fontId="1" numFmtId="0" xfId="0" applyBorder="1" applyFill="1" applyFont="1"/>
    <xf borderId="1" fillId="14" fontId="1" numFmtId="0" xfId="0" applyBorder="1" applyFill="1" applyFont="1"/>
    <xf borderId="4" fillId="0" fontId="1" numFmtId="4" xfId="0" applyAlignment="1" applyBorder="1" applyFont="1" applyNumberFormat="1">
      <alignment horizontal="right" readingOrder="0"/>
    </xf>
    <xf borderId="0" fillId="0" fontId="23" numFmtId="0" xfId="0" applyFont="1"/>
    <xf borderId="23" fillId="0" fontId="12" numFmtId="0" xfId="0" applyBorder="1" applyFont="1"/>
    <xf borderId="24" fillId="0" fontId="12" numFmtId="0" xfId="0" applyBorder="1" applyFont="1"/>
    <xf borderId="1" fillId="7" fontId="1" numFmtId="0" xfId="0" applyAlignment="1" applyBorder="1" applyFill="1" applyFont="1">
      <alignment horizontal="center" readingOrder="0" shrinkToFit="0" vertical="center" wrapText="1"/>
    </xf>
    <xf borderId="4" fillId="0" fontId="1" numFmtId="0" xfId="0" applyAlignment="1" applyBorder="1" applyFont="1">
      <alignment horizontal="left" readingOrder="0" shrinkToFit="0" vertical="center" wrapText="1"/>
    </xf>
    <xf borderId="17" fillId="0" fontId="1" numFmtId="0" xfId="0" applyAlignment="1" applyBorder="1" applyFont="1">
      <alignment readingOrder="0" shrinkToFit="0" vertical="top" wrapText="1"/>
    </xf>
    <xf borderId="4" fillId="0" fontId="23" numFmtId="0" xfId="0" applyAlignment="1" applyBorder="1" applyFont="1">
      <alignment readingOrder="0"/>
    </xf>
    <xf borderId="4" fillId="0" fontId="23" numFmtId="0" xfId="0" applyBorder="1" applyFont="1"/>
    <xf borderId="0" fillId="0" fontId="24" numFmtId="0" xfId="0" applyFont="1"/>
    <xf borderId="17" fillId="0" fontId="1" numFmtId="0" xfId="0" applyBorder="1" applyFont="1"/>
    <xf borderId="17" fillId="0" fontId="1" numFmtId="0" xfId="0" applyAlignment="1" applyBorder="1" applyFont="1">
      <alignment readingOrder="0" vertical="bottom"/>
    </xf>
    <xf borderId="21" fillId="0" fontId="1" numFmtId="0" xfId="0" applyAlignment="1" applyBorder="1" applyFont="1">
      <alignment horizontal="center" shrinkToFit="0" wrapText="1"/>
    </xf>
    <xf borderId="21" fillId="0" fontId="1" numFmtId="0" xfId="0" applyAlignment="1" applyBorder="1" applyFont="1">
      <alignment horizontal="center" shrinkToFit="0" wrapText="1"/>
    </xf>
    <xf borderId="17" fillId="0" fontId="1" numFmtId="0" xfId="0" applyAlignment="1" applyBorder="1" applyFont="1">
      <alignment readingOrder="0"/>
    </xf>
    <xf borderId="17" fillId="0" fontId="1" numFmtId="0" xfId="0" applyAlignment="1" applyBorder="1" applyFont="1">
      <alignment shrinkToFit="0" vertical="bottom" wrapText="1"/>
    </xf>
    <xf borderId="17" fillId="0" fontId="1" numFmtId="0" xfId="0" applyAlignment="1" applyBorder="1" applyFont="1">
      <alignment readingOrder="0" shrinkToFit="0" vertical="bottom" wrapText="1"/>
    </xf>
    <xf borderId="4" fillId="0" fontId="1" numFmtId="0" xfId="0" applyAlignment="1" applyBorder="1" applyFont="1">
      <alignment shrinkToFit="0" wrapText="1"/>
    </xf>
    <xf borderId="0" fillId="0" fontId="5" numFmtId="0" xfId="0" applyAlignment="1" applyFont="1">
      <alignment horizontal="center"/>
    </xf>
    <xf borderId="0" fillId="0" fontId="2" numFmtId="0" xfId="0" applyAlignment="1" applyFont="1">
      <alignment readingOrder="0"/>
    </xf>
    <xf borderId="0" fillId="4" fontId="25" numFmtId="0" xfId="0" applyAlignment="1" applyFill="1" applyFont="1">
      <alignment readingOrder="0" shrinkToFit="0" wrapText="0"/>
    </xf>
    <xf borderId="0" fillId="0" fontId="2" numFmtId="0" xfId="0" applyFont="1"/>
    <xf borderId="0" fillId="0" fontId="2" numFmtId="0" xfId="0" applyFont="1"/>
    <xf borderId="17" fillId="0" fontId="1" numFmtId="0" xfId="0" applyAlignment="1" applyBorder="1" applyFont="1">
      <alignment readingOrder="0" shrinkToFit="0" vertical="center" wrapText="1"/>
    </xf>
    <xf borderId="17" fillId="0" fontId="26" numFmtId="0" xfId="0" applyAlignment="1" applyBorder="1" applyFont="1">
      <alignment readingOrder="0" shrinkToFit="0" vertical="center" wrapText="1"/>
    </xf>
    <xf borderId="0" fillId="0" fontId="22" numFmtId="0" xfId="0"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47625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952500</xdr:colOff>
      <xdr:row>9</xdr:row>
      <xdr:rowOff>152400</xdr:rowOff>
    </xdr:from>
    <xdr:ext cx="7191375" cy="3400425"/>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19050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161925</xdr:colOff>
      <xdr:row>10</xdr:row>
      <xdr:rowOff>238125</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238125</xdr:colOff>
      <xdr:row>19</xdr:row>
      <xdr:rowOff>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238125</xdr:colOff>
      <xdr:row>26</xdr:row>
      <xdr:rowOff>285750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161925</xdr:colOff>
      <xdr:row>32</xdr:row>
      <xdr:rowOff>114300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0</xdr:col>
      <xdr:colOff>381000</xdr:colOff>
      <xdr:row>0</xdr:row>
      <xdr:rowOff>85725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n5es0M20vXxa7i4eLN7pbgTXc2C1dmCQ/view?usp=sharing" TargetMode="External"/><Relationship Id="rId2" Type="http://schemas.openxmlformats.org/officeDocument/2006/relationships/hyperlink" Target="https://youtu.be/C8Q9dKo4t-w?si=yErgF_ihe1tsaHM0"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13"/>
    <col customWidth="1" min="2" max="2" width="14.0"/>
    <col customWidth="1" min="3" max="3" width="24.5"/>
    <col customWidth="1" min="4" max="4" width="16.88"/>
  </cols>
  <sheetData>
    <row r="1" ht="15.75" customHeight="1">
      <c r="A1" s="4"/>
    </row>
    <row r="2" ht="15.75" customHeight="1">
      <c r="A2" s="4"/>
      <c r="B2" s="7" t="s">
        <v>2</v>
      </c>
    </row>
    <row r="3" ht="15.75" customHeight="1">
      <c r="A3" s="4"/>
    </row>
    <row r="4" ht="15.75" customHeight="1">
      <c r="A4" s="4"/>
      <c r="B4" s="6" t="s">
        <v>1</v>
      </c>
      <c r="C4" s="13" t="s">
        <v>4</v>
      </c>
    </row>
    <row r="5">
      <c r="A5" s="4"/>
      <c r="B5" s="15" t="s">
        <v>5</v>
      </c>
      <c r="C5" s="16" t="s">
        <v>6</v>
      </c>
    </row>
    <row r="6">
      <c r="A6" s="4"/>
      <c r="B6" s="15" t="s">
        <v>8</v>
      </c>
    </row>
    <row r="7" ht="15.75" customHeight="1">
      <c r="A7" s="4"/>
    </row>
    <row r="8" ht="15.75" customHeight="1">
      <c r="A8" s="19" t="s">
        <v>9</v>
      </c>
    </row>
    <row r="9" ht="15.75" customHeight="1">
      <c r="A9" s="19" t="s">
        <v>10</v>
      </c>
    </row>
    <row r="10">
      <c r="A10" s="21" t="s">
        <v>11</v>
      </c>
      <c r="B10" s="21" t="s">
        <v>12</v>
      </c>
      <c r="C10" s="21" t="s">
        <v>13</v>
      </c>
      <c r="D10" s="23" t="s">
        <v>14</v>
      </c>
      <c r="E10" s="31"/>
      <c r="F10" s="34"/>
      <c r="G10" s="36" t="s">
        <v>30</v>
      </c>
    </row>
    <row r="11">
      <c r="A11" s="38" t="s">
        <v>33</v>
      </c>
      <c r="B11" s="47">
        <f>S.2!C7+S.3!C7+S.4!C7+S.5!C7+S.6!C7+S.7!C7+S.8!C7+S.9!C7+S.10!C7+S.11!C7</f>
        <v>0</v>
      </c>
      <c r="C11" s="50">
        <v>0.0</v>
      </c>
      <c r="D11" s="52"/>
      <c r="E11" s="31"/>
      <c r="F11" s="34"/>
      <c r="G11" s="54">
        <v>10.0</v>
      </c>
    </row>
    <row r="12" ht="15.75" customHeight="1">
      <c r="A12" s="55" t="s">
        <v>63</v>
      </c>
      <c r="B12" s="58">
        <f>Proyectos!C6</f>
        <v>90</v>
      </c>
      <c r="C12" s="50">
        <f>Proyectos!C5</f>
        <v>75</v>
      </c>
      <c r="D12" s="52"/>
      <c r="E12" s="31"/>
      <c r="F12" s="34"/>
      <c r="G12" s="54">
        <v>60.0</v>
      </c>
    </row>
    <row r="13" ht="15.75" customHeight="1">
      <c r="A13" s="55" t="s">
        <v>80</v>
      </c>
      <c r="B13" s="64">
        <f>Practicas!C6</f>
        <v>0</v>
      </c>
      <c r="C13" s="68">
        <f>Practicas!C5</f>
        <v>0</v>
      </c>
      <c r="D13" s="52"/>
      <c r="E13" s="31"/>
      <c r="F13" s="34"/>
      <c r="G13" s="54">
        <v>20.0</v>
      </c>
    </row>
    <row r="14" ht="15.75" customHeight="1">
      <c r="A14" s="71" t="s">
        <v>97</v>
      </c>
      <c r="B14" s="74">
        <f>Tareas!C6</f>
        <v>10</v>
      </c>
      <c r="C14" s="68">
        <f>Tareas!C5</f>
        <v>8</v>
      </c>
      <c r="D14" s="77"/>
      <c r="E14" s="78"/>
      <c r="F14" s="80"/>
      <c r="G14" s="54">
        <v>10.0</v>
      </c>
    </row>
    <row r="15" ht="15.75" customHeight="1">
      <c r="A15" s="82" t="s">
        <v>116</v>
      </c>
      <c r="B15" s="85">
        <f t="shared" ref="B15:C15" si="1">SUM(B11:B14)</f>
        <v>100</v>
      </c>
      <c r="C15" s="86">
        <f t="shared" si="1"/>
        <v>83</v>
      </c>
      <c r="D15" s="87" t="s">
        <v>129</v>
      </c>
      <c r="E15" s="91" t="str">
        <f>IFERROR(__xludf.DUMMYFUNCTION("LET(
  nombres,A11:A14,
  p,B11:B14,
  m,G11:G14,
  t,SUM(p),
  exceden, IFERROR(TEXTJOIN(""; "", TRUE, FILTER(nombres&amp;"" (""&amp;p&amp;""&gt;""&amp;m&amp;"")"", p&gt;m)), """"),
  negs, IF(COUNTIF(p,""&lt;0"")&gt;0, ""Hay valores negativos"", """"),
  totalmsg, IF(t&lt;&gt;100, ""Total ≠"&amp;" 100 (actual ""&amp;t&amp;"")"", """"),
  excesomsg, IF(exceden&lt;&gt;"""", ""Exceden: ""&amp;exceden, """"),
  msg, TEXTJOIN("" | "", TRUE, totalmsg, negs, excesomsg),
  IF(msg="""", ""✅ Distribución válida"", ""❌ Revisar: ""&amp;msg)
)"),"❌ Revisar: Exceden: Proyectos (90&gt;60)")</f>
        <v>❌ Revisar: Exceden: Proyectos (90&gt;60)</v>
      </c>
      <c r="F15" s="92"/>
      <c r="G15" s="93"/>
    </row>
    <row r="16" ht="15.75" customHeight="1">
      <c r="A16" s="4"/>
    </row>
    <row r="17" ht="15.75" customHeight="1">
      <c r="A17" s="4"/>
    </row>
    <row r="18" ht="15.75" customHeight="1">
      <c r="A18" s="4"/>
    </row>
    <row r="19" ht="15.75" customHeight="1">
      <c r="A19" s="4"/>
    </row>
    <row r="20" ht="15.75" customHeight="1">
      <c r="A20" s="4"/>
    </row>
    <row r="21" ht="15.75" customHeight="1">
      <c r="A21" s="4"/>
    </row>
    <row r="22" ht="15.75" customHeight="1">
      <c r="A22" s="4"/>
    </row>
    <row r="23" ht="15.75" customHeight="1">
      <c r="A23" s="4"/>
    </row>
    <row r="24" ht="15.75" customHeight="1">
      <c r="A24" s="4"/>
    </row>
    <row r="25" ht="15.75" customHeight="1">
      <c r="A25" s="4"/>
    </row>
    <row r="26" ht="15.75" customHeight="1">
      <c r="A26" s="4"/>
    </row>
    <row r="27" ht="15.75" customHeight="1">
      <c r="A27" s="4"/>
    </row>
    <row r="28" ht="15.75" customHeight="1">
      <c r="A28" s="4"/>
    </row>
    <row r="29" ht="15.75" customHeight="1">
      <c r="A29" s="4"/>
    </row>
    <row r="30" ht="15.75" customHeight="1">
      <c r="A30" s="4"/>
    </row>
    <row r="31" ht="15.75" customHeight="1">
      <c r="A31" s="4"/>
    </row>
    <row r="32" ht="15.75" customHeight="1">
      <c r="A32" s="4"/>
    </row>
    <row r="33" ht="15.75" customHeight="1">
      <c r="A33" s="4"/>
    </row>
    <row r="34" ht="15.75" customHeight="1">
      <c r="A34" s="4"/>
    </row>
    <row r="35" ht="15.75" customHeight="1">
      <c r="A35" s="4"/>
    </row>
    <row r="36" ht="15.75" customHeight="1">
      <c r="A36" s="4"/>
    </row>
    <row r="37" ht="15.75" customHeight="1">
      <c r="A37" s="4"/>
    </row>
    <row r="38" ht="15.75" customHeight="1">
      <c r="A38" s="4"/>
    </row>
    <row r="39" ht="15.75" customHeight="1">
      <c r="A39" s="4"/>
    </row>
    <row r="40" ht="15.75" customHeight="1">
      <c r="A40" s="4"/>
    </row>
    <row r="41" ht="15.75" customHeight="1">
      <c r="A41" s="4"/>
    </row>
    <row r="42" ht="15.75" customHeight="1">
      <c r="A42" s="4"/>
    </row>
    <row r="43" ht="15.75" customHeight="1">
      <c r="A43" s="4"/>
    </row>
    <row r="44" ht="15.75" customHeight="1">
      <c r="A44" s="4"/>
    </row>
    <row r="45" ht="15.75" customHeight="1">
      <c r="A45" s="4"/>
    </row>
    <row r="46" ht="15.75" customHeight="1">
      <c r="A46" s="4"/>
    </row>
    <row r="47" ht="15.75" customHeight="1">
      <c r="A47" s="4"/>
    </row>
    <row r="48" ht="15.75" customHeight="1">
      <c r="A48" s="4"/>
    </row>
    <row r="49" ht="15.75" customHeight="1">
      <c r="A49" s="4"/>
    </row>
    <row r="50" ht="15.75" customHeight="1">
      <c r="A50" s="4"/>
    </row>
    <row r="51" ht="15.75" customHeight="1">
      <c r="A51" s="4"/>
    </row>
    <row r="52" ht="15.75" customHeight="1">
      <c r="A52" s="4"/>
    </row>
    <row r="53" ht="15.75" customHeight="1">
      <c r="A53" s="4"/>
    </row>
    <row r="54" ht="15.75" customHeight="1">
      <c r="A54" s="4"/>
    </row>
    <row r="55" ht="15.75" customHeight="1">
      <c r="A55" s="4"/>
    </row>
    <row r="56" ht="15.75" customHeight="1">
      <c r="A56" s="4"/>
    </row>
    <row r="57" ht="15.75" customHeight="1">
      <c r="A57" s="4"/>
    </row>
    <row r="58" ht="15.75" customHeight="1">
      <c r="A58" s="4"/>
    </row>
    <row r="59" ht="15.75" customHeight="1">
      <c r="A59" s="4"/>
    </row>
    <row r="60" ht="15.75" customHeight="1">
      <c r="A60" s="4"/>
    </row>
    <row r="61" ht="15.75" customHeight="1">
      <c r="A61" s="4"/>
    </row>
    <row r="62" ht="15.75" customHeight="1">
      <c r="A62" s="4"/>
    </row>
    <row r="63" ht="15.75" customHeight="1">
      <c r="A63" s="4"/>
    </row>
    <row r="64" ht="15.75" customHeight="1">
      <c r="A64" s="4"/>
    </row>
    <row r="65" ht="15.75" customHeight="1">
      <c r="A65" s="4"/>
    </row>
    <row r="66" ht="15.75" customHeight="1">
      <c r="A66" s="4"/>
    </row>
    <row r="67" ht="15.75" customHeight="1">
      <c r="A67" s="4"/>
    </row>
    <row r="68" ht="15.75" customHeight="1">
      <c r="A68" s="4"/>
    </row>
    <row r="69" ht="15.75" customHeight="1">
      <c r="A69" s="4"/>
    </row>
    <row r="70" ht="15.75" customHeight="1">
      <c r="A70" s="4"/>
    </row>
    <row r="71" ht="15.75" customHeight="1">
      <c r="A71" s="4"/>
    </row>
    <row r="72" ht="15.75" customHeight="1">
      <c r="A72" s="4"/>
    </row>
    <row r="73" ht="15.75" customHeight="1">
      <c r="A73" s="4"/>
    </row>
    <row r="74" ht="15.75" customHeight="1">
      <c r="A74" s="4"/>
    </row>
    <row r="75" ht="15.75" customHeight="1">
      <c r="A75" s="4"/>
    </row>
    <row r="76" ht="15.75" customHeight="1">
      <c r="A76" s="4"/>
    </row>
    <row r="77" ht="15.75" customHeight="1">
      <c r="A77" s="4"/>
    </row>
    <row r="78" ht="15.75" customHeight="1">
      <c r="A78" s="4"/>
    </row>
    <row r="79" ht="15.75" customHeight="1">
      <c r="A79" s="4"/>
    </row>
    <row r="80" ht="15.75" customHeight="1">
      <c r="A80" s="4"/>
    </row>
    <row r="81" ht="15.75" customHeight="1">
      <c r="A81" s="4"/>
    </row>
    <row r="82" ht="15.75" customHeight="1">
      <c r="A82" s="4"/>
    </row>
    <row r="83" ht="15.75" customHeight="1">
      <c r="A83" s="4"/>
    </row>
    <row r="84" ht="15.75" customHeight="1">
      <c r="A84" s="4"/>
    </row>
    <row r="85" ht="15.75" customHeight="1">
      <c r="A85" s="4"/>
    </row>
    <row r="86" ht="15.75" customHeight="1">
      <c r="A86" s="4"/>
    </row>
    <row r="87" ht="15.75" customHeight="1">
      <c r="A87" s="4"/>
    </row>
    <row r="88" ht="15.75" customHeight="1">
      <c r="A88" s="4"/>
    </row>
    <row r="89" ht="15.75" customHeight="1">
      <c r="A89" s="4"/>
    </row>
    <row r="90" ht="15.75" customHeight="1">
      <c r="A90" s="4"/>
    </row>
    <row r="91" ht="15.75" customHeight="1">
      <c r="A91" s="4"/>
    </row>
    <row r="92" ht="15.75" customHeight="1">
      <c r="A92" s="4"/>
    </row>
    <row r="93" ht="15.75" customHeight="1">
      <c r="A93" s="4"/>
    </row>
    <row r="94" ht="15.75" customHeight="1">
      <c r="A94" s="4"/>
    </row>
    <row r="95" ht="15.75" customHeight="1">
      <c r="A95" s="4"/>
    </row>
    <row r="96" ht="15.75" customHeight="1">
      <c r="A96" s="4"/>
    </row>
    <row r="97" ht="15.75" customHeight="1">
      <c r="A97" s="4"/>
    </row>
    <row r="98" ht="15.75" customHeight="1">
      <c r="A98" s="4"/>
    </row>
    <row r="99" ht="15.75" customHeight="1">
      <c r="A99" s="4"/>
    </row>
    <row r="100" ht="15.75" customHeight="1">
      <c r="A100" s="4"/>
    </row>
    <row r="101" ht="15.75" customHeight="1">
      <c r="A101" s="4"/>
    </row>
    <row r="102" ht="15.75" customHeight="1">
      <c r="A102" s="4"/>
    </row>
    <row r="103" ht="15.75" customHeight="1">
      <c r="A103" s="4"/>
    </row>
    <row r="104" ht="15.75" customHeight="1">
      <c r="A104" s="4"/>
    </row>
    <row r="105" ht="15.75" customHeight="1">
      <c r="A105" s="4"/>
    </row>
    <row r="106" ht="15.75" customHeight="1">
      <c r="A106" s="4"/>
    </row>
    <row r="107" ht="15.75" customHeight="1">
      <c r="A107" s="4"/>
    </row>
    <row r="108" ht="15.75" customHeight="1">
      <c r="A108" s="4"/>
    </row>
    <row r="109" ht="15.75" customHeight="1">
      <c r="A109" s="4"/>
    </row>
    <row r="110" ht="15.75" customHeight="1">
      <c r="A110" s="4"/>
    </row>
    <row r="111" ht="15.75" customHeight="1">
      <c r="A111" s="4"/>
    </row>
    <row r="112" ht="15.75" customHeight="1">
      <c r="A112" s="4"/>
    </row>
    <row r="113" ht="15.75" customHeight="1">
      <c r="A113" s="4"/>
    </row>
    <row r="114" ht="15.75" customHeight="1">
      <c r="A114" s="4"/>
    </row>
    <row r="115" ht="15.75" customHeight="1">
      <c r="A115" s="4"/>
    </row>
    <row r="116" ht="15.75" customHeight="1">
      <c r="A116" s="4"/>
    </row>
    <row r="117" ht="15.75" customHeight="1">
      <c r="A117" s="4"/>
    </row>
    <row r="118" ht="15.75" customHeight="1">
      <c r="A118" s="4"/>
    </row>
    <row r="119" ht="15.75" customHeight="1">
      <c r="A119" s="4"/>
    </row>
    <row r="120" ht="15.75" customHeight="1">
      <c r="A120" s="4"/>
    </row>
    <row r="121" ht="15.75" customHeight="1">
      <c r="A121" s="4"/>
    </row>
    <row r="122" ht="15.75" customHeight="1">
      <c r="A122" s="4"/>
    </row>
    <row r="123" ht="15.75" customHeight="1">
      <c r="A123" s="4"/>
    </row>
    <row r="124" ht="15.75" customHeight="1">
      <c r="A124" s="4"/>
    </row>
    <row r="125" ht="15.75" customHeight="1">
      <c r="A125" s="4"/>
    </row>
    <row r="126" ht="15.75" customHeight="1">
      <c r="A126" s="4"/>
    </row>
    <row r="127" ht="15.75" customHeight="1">
      <c r="A127" s="4"/>
    </row>
    <row r="128" ht="15.75" customHeight="1">
      <c r="A128" s="4"/>
    </row>
    <row r="129" ht="15.75" customHeight="1">
      <c r="A129" s="4"/>
    </row>
    <row r="130" ht="15.75" customHeight="1">
      <c r="A130" s="4"/>
    </row>
    <row r="131" ht="15.75" customHeight="1">
      <c r="A131" s="4"/>
    </row>
    <row r="132" ht="15.75" customHeight="1">
      <c r="A132" s="4"/>
    </row>
    <row r="133" ht="15.75" customHeight="1">
      <c r="A133" s="4"/>
    </row>
    <row r="134" ht="15.75" customHeight="1">
      <c r="A134" s="4"/>
    </row>
    <row r="135" ht="15.75" customHeight="1">
      <c r="A135" s="4"/>
    </row>
    <row r="136" ht="15.75" customHeight="1">
      <c r="A136" s="4"/>
    </row>
    <row r="137" ht="15.75" customHeight="1">
      <c r="A137" s="4"/>
    </row>
    <row r="138" ht="15.75" customHeight="1">
      <c r="A138" s="4"/>
    </row>
    <row r="139" ht="15.75" customHeight="1">
      <c r="A139" s="4"/>
    </row>
    <row r="140" ht="15.75" customHeight="1">
      <c r="A140" s="4"/>
    </row>
    <row r="141" ht="15.75" customHeight="1">
      <c r="A141" s="4"/>
    </row>
    <row r="142" ht="15.75" customHeight="1">
      <c r="A142" s="4"/>
    </row>
    <row r="143" ht="15.75" customHeight="1">
      <c r="A143" s="4"/>
    </row>
    <row r="144" ht="15.75" customHeight="1">
      <c r="A144" s="4"/>
    </row>
    <row r="145" ht="15.75" customHeight="1">
      <c r="A145" s="4"/>
    </row>
    <row r="146" ht="15.75" customHeight="1">
      <c r="A146" s="4"/>
    </row>
    <row r="147" ht="15.75" customHeight="1">
      <c r="A147" s="4"/>
    </row>
    <row r="148" ht="15.75" customHeight="1">
      <c r="A148" s="4"/>
    </row>
    <row r="149" ht="15.75" customHeight="1">
      <c r="A149" s="4"/>
    </row>
    <row r="150" ht="15.75" customHeight="1">
      <c r="A150" s="4"/>
    </row>
    <row r="151" ht="15.75" customHeight="1">
      <c r="A151" s="4"/>
    </row>
    <row r="152" ht="15.75" customHeight="1">
      <c r="A152" s="4"/>
    </row>
    <row r="153" ht="15.75" customHeight="1">
      <c r="A153" s="4"/>
    </row>
    <row r="154" ht="15.75" customHeight="1">
      <c r="A154" s="4"/>
    </row>
    <row r="155" ht="15.75" customHeight="1">
      <c r="A155" s="4"/>
    </row>
    <row r="156" ht="15.75" customHeight="1">
      <c r="A156" s="4"/>
    </row>
    <row r="157" ht="15.75" customHeight="1">
      <c r="A157" s="4"/>
    </row>
    <row r="158" ht="15.75" customHeight="1">
      <c r="A158" s="4"/>
    </row>
    <row r="159" ht="15.75" customHeight="1">
      <c r="A159" s="4"/>
    </row>
    <row r="160" ht="15.75" customHeight="1">
      <c r="A160" s="4"/>
    </row>
    <row r="161" ht="15.75" customHeight="1">
      <c r="A161" s="4"/>
    </row>
    <row r="162" ht="15.75" customHeight="1">
      <c r="A162" s="4"/>
    </row>
    <row r="163" ht="15.75" customHeight="1">
      <c r="A163" s="4"/>
    </row>
    <row r="164" ht="15.75" customHeight="1">
      <c r="A164" s="4"/>
    </row>
    <row r="165" ht="15.75" customHeight="1">
      <c r="A165" s="4"/>
    </row>
    <row r="166" ht="15.75" customHeight="1">
      <c r="A166" s="4"/>
    </row>
    <row r="167" ht="15.75" customHeight="1">
      <c r="A167" s="4"/>
    </row>
    <row r="168" ht="15.75" customHeight="1">
      <c r="A168" s="4"/>
    </row>
    <row r="169" ht="15.75" customHeight="1">
      <c r="A169" s="4"/>
    </row>
    <row r="170" ht="15.75" customHeight="1">
      <c r="A170" s="4"/>
    </row>
    <row r="171" ht="15.75" customHeight="1">
      <c r="A171" s="4"/>
    </row>
    <row r="172" ht="15.75" customHeight="1">
      <c r="A172" s="4"/>
    </row>
    <row r="173" ht="15.75" customHeight="1">
      <c r="A173" s="4"/>
    </row>
    <row r="174" ht="15.75" customHeight="1">
      <c r="A174" s="4"/>
    </row>
    <row r="175" ht="15.75" customHeight="1">
      <c r="A175" s="4"/>
    </row>
    <row r="176" ht="15.75" customHeight="1">
      <c r="A176" s="4"/>
    </row>
    <row r="177" ht="15.75" customHeight="1">
      <c r="A177" s="4"/>
    </row>
    <row r="178" ht="15.75" customHeight="1">
      <c r="A178" s="4"/>
    </row>
    <row r="179" ht="15.75" customHeight="1">
      <c r="A179" s="4"/>
    </row>
    <row r="180" ht="15.75" customHeight="1">
      <c r="A180" s="4"/>
    </row>
    <row r="181" ht="15.75" customHeight="1">
      <c r="A181" s="4"/>
    </row>
    <row r="182" ht="15.75" customHeight="1">
      <c r="A182" s="4"/>
    </row>
    <row r="183" ht="15.75" customHeight="1">
      <c r="A183" s="4"/>
    </row>
    <row r="184" ht="15.75" customHeight="1">
      <c r="A184" s="4"/>
    </row>
    <row r="185" ht="15.75" customHeight="1">
      <c r="A185" s="4"/>
    </row>
    <row r="186" ht="15.75" customHeight="1">
      <c r="A186" s="4"/>
    </row>
    <row r="187" ht="15.75" customHeight="1">
      <c r="A187" s="4"/>
    </row>
    <row r="188" ht="15.75" customHeight="1">
      <c r="A188" s="4"/>
    </row>
    <row r="189" ht="15.75" customHeight="1">
      <c r="A189" s="4"/>
    </row>
    <row r="190" ht="15.75" customHeight="1">
      <c r="A190" s="4"/>
    </row>
    <row r="191" ht="15.75" customHeight="1">
      <c r="A191" s="4"/>
    </row>
    <row r="192" ht="15.75" customHeight="1">
      <c r="A192" s="4"/>
    </row>
    <row r="193" ht="15.75" customHeight="1">
      <c r="A193" s="4"/>
    </row>
    <row r="194" ht="15.75" customHeight="1">
      <c r="A194" s="4"/>
    </row>
    <row r="195" ht="15.75" customHeight="1">
      <c r="A195" s="4"/>
    </row>
    <row r="196" ht="15.75" customHeight="1">
      <c r="A196" s="4"/>
    </row>
    <row r="197" ht="15.75" customHeight="1">
      <c r="A197" s="4"/>
    </row>
    <row r="198" ht="15.75" customHeight="1">
      <c r="A198" s="4"/>
    </row>
    <row r="199" ht="15.75" customHeight="1">
      <c r="A199" s="4"/>
    </row>
    <row r="200" ht="15.75" customHeight="1">
      <c r="A200" s="4"/>
    </row>
    <row r="201" ht="15.75" customHeight="1">
      <c r="A201" s="4"/>
    </row>
    <row r="202" ht="15.75" customHeight="1">
      <c r="A202" s="4"/>
    </row>
    <row r="203" ht="15.75" customHeight="1">
      <c r="A203" s="4"/>
    </row>
    <row r="204" ht="15.75" customHeight="1">
      <c r="A204" s="4"/>
    </row>
    <row r="205" ht="15.75" customHeight="1">
      <c r="A205" s="4"/>
    </row>
    <row r="206" ht="15.75" customHeight="1">
      <c r="A206" s="4"/>
    </row>
    <row r="207" ht="15.75" customHeight="1">
      <c r="A207" s="4"/>
    </row>
    <row r="208" ht="15.75" customHeight="1">
      <c r="A208" s="4"/>
    </row>
    <row r="209" ht="15.75" customHeight="1">
      <c r="A209" s="4"/>
    </row>
    <row r="210" ht="15.75" customHeight="1">
      <c r="A210" s="4"/>
    </row>
    <row r="211" ht="15.75" customHeight="1">
      <c r="A211" s="4"/>
    </row>
    <row r="212" ht="15.75" customHeight="1">
      <c r="A212" s="4"/>
    </row>
    <row r="213" ht="15.75" customHeight="1">
      <c r="A213" s="4"/>
    </row>
    <row r="214" ht="15.75" customHeight="1">
      <c r="A214" s="4"/>
    </row>
    <row r="215" ht="15.75" customHeight="1">
      <c r="A215" s="4"/>
    </row>
    <row r="216" ht="15.75" customHeight="1">
      <c r="A216" s="4"/>
    </row>
    <row r="217" ht="15.75" customHeight="1">
      <c r="A217" s="4"/>
    </row>
    <row r="218" ht="15.75" customHeight="1">
      <c r="A218" s="4"/>
    </row>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11">
    <mergeCell ref="D12:F12"/>
    <mergeCell ref="D13:F13"/>
    <mergeCell ref="D14:F14"/>
    <mergeCell ref="E15:G15"/>
    <mergeCell ref="C4:H4"/>
    <mergeCell ref="C5:H5"/>
    <mergeCell ref="C6:H6"/>
    <mergeCell ref="A8:G8"/>
    <mergeCell ref="A9:G9"/>
    <mergeCell ref="D10:F10"/>
    <mergeCell ref="D11:F11"/>
  </mergeCells>
  <dataValidations>
    <dataValidation type="list" allowBlank="1" showErrorMessage="1" sqref="C4">
      <formula1>Metadata!$A$2:$A$81</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9.75"/>
    <col customWidth="1" min="4" max="4" width="17.0"/>
  </cols>
  <sheetData>
    <row r="1">
      <c r="A1" s="1"/>
      <c r="B1" s="3" t="s">
        <v>0</v>
      </c>
      <c r="Q1" s="1"/>
      <c r="R1" s="1"/>
      <c r="S1" s="1"/>
      <c r="T1" s="1"/>
      <c r="U1" s="1"/>
      <c r="V1" s="1"/>
      <c r="W1" s="1"/>
      <c r="X1" s="1"/>
      <c r="Y1" s="1"/>
      <c r="Z1" s="1"/>
    </row>
    <row r="2">
      <c r="A2" s="1"/>
      <c r="B2" s="6" t="s">
        <v>1</v>
      </c>
      <c r="C2" s="13" t="s">
        <v>4</v>
      </c>
      <c r="I2" s="1"/>
      <c r="J2" s="1"/>
      <c r="K2" s="1"/>
      <c r="L2" s="1"/>
      <c r="M2" s="1"/>
      <c r="N2" s="1"/>
      <c r="O2" s="1"/>
      <c r="P2" s="1"/>
      <c r="Q2" s="1"/>
      <c r="R2" s="1"/>
      <c r="S2" s="1"/>
      <c r="T2" s="1"/>
      <c r="U2" s="1"/>
      <c r="V2" s="1"/>
      <c r="W2" s="1"/>
      <c r="X2" s="1"/>
      <c r="Y2" s="1"/>
      <c r="Z2" s="1"/>
    </row>
    <row r="3">
      <c r="A3" s="1"/>
      <c r="B3" s="6" t="s">
        <v>5</v>
      </c>
      <c r="C3" s="16" t="s">
        <v>6</v>
      </c>
      <c r="I3" s="1"/>
      <c r="J3" s="1"/>
      <c r="K3" s="1"/>
      <c r="L3" s="18"/>
      <c r="M3" s="18"/>
      <c r="N3" s="18"/>
      <c r="O3" s="18"/>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c r="B5" s="30" t="s">
        <v>15</v>
      </c>
      <c r="C5" s="27"/>
      <c r="D5" s="27"/>
      <c r="E5" s="27"/>
      <c r="F5" s="27"/>
      <c r="G5" s="29"/>
      <c r="H5" s="1"/>
      <c r="I5" s="30" t="s">
        <v>27</v>
      </c>
      <c r="J5" s="27"/>
      <c r="K5" s="27"/>
      <c r="L5" s="27"/>
      <c r="M5" s="27"/>
      <c r="N5" s="27"/>
      <c r="O5" s="27"/>
      <c r="P5" s="29"/>
      <c r="Q5" s="1"/>
      <c r="R5" s="1"/>
      <c r="S5" s="1"/>
      <c r="T5" s="1"/>
      <c r="U5" s="1"/>
      <c r="V5" s="1"/>
      <c r="W5" s="1"/>
      <c r="X5" s="1"/>
      <c r="Y5" s="1"/>
      <c r="Z5" s="1"/>
    </row>
    <row r="6">
      <c r="A6" s="1"/>
      <c r="B6" s="35">
        <v>1.0</v>
      </c>
      <c r="C6" s="39" t="s">
        <v>31</v>
      </c>
      <c r="D6" s="27"/>
      <c r="E6" s="27"/>
      <c r="F6" s="27"/>
      <c r="G6" s="29"/>
      <c r="H6" s="41"/>
      <c r="I6" s="35">
        <v>1.0</v>
      </c>
      <c r="J6" s="39" t="s">
        <v>41</v>
      </c>
      <c r="K6" s="27"/>
      <c r="L6" s="27"/>
      <c r="M6" s="27"/>
      <c r="N6" s="27"/>
      <c r="O6" s="27"/>
      <c r="P6" s="29"/>
      <c r="Q6" s="1"/>
      <c r="R6" s="1"/>
      <c r="S6" s="1"/>
      <c r="T6" s="1"/>
      <c r="U6" s="1"/>
      <c r="V6" s="1"/>
      <c r="W6" s="1"/>
      <c r="X6" s="1"/>
      <c r="Y6" s="1"/>
      <c r="Z6" s="1"/>
    </row>
    <row r="7">
      <c r="A7" s="1"/>
      <c r="B7" s="45">
        <v>2.0</v>
      </c>
      <c r="C7" s="39" t="s">
        <v>46</v>
      </c>
      <c r="D7" s="27"/>
      <c r="E7" s="27"/>
      <c r="F7" s="27"/>
      <c r="G7" s="29"/>
      <c r="H7" s="1"/>
      <c r="I7" s="48">
        <v>2.0</v>
      </c>
      <c r="J7" s="39" t="s">
        <v>53</v>
      </c>
      <c r="K7" s="27"/>
      <c r="L7" s="27"/>
      <c r="M7" s="27"/>
      <c r="N7" s="27"/>
      <c r="O7" s="27"/>
      <c r="P7" s="29"/>
      <c r="Q7" s="1"/>
      <c r="R7" s="1"/>
      <c r="S7" s="1"/>
      <c r="T7" s="1"/>
      <c r="U7" s="1"/>
      <c r="V7" s="1"/>
      <c r="W7" s="1"/>
      <c r="X7" s="1"/>
      <c r="Y7" s="1"/>
      <c r="Z7" s="1"/>
    </row>
    <row r="8">
      <c r="A8" s="1"/>
      <c r="B8" s="45">
        <v>3.0</v>
      </c>
      <c r="C8" s="39" t="s">
        <v>56</v>
      </c>
      <c r="D8" s="27"/>
      <c r="E8" s="27"/>
      <c r="F8" s="27"/>
      <c r="G8" s="29"/>
      <c r="H8" s="1"/>
      <c r="I8" s="48">
        <v>3.0</v>
      </c>
      <c r="J8" s="39" t="s">
        <v>59</v>
      </c>
      <c r="K8" s="27"/>
      <c r="L8" s="27"/>
      <c r="M8" s="27"/>
      <c r="N8" s="27"/>
      <c r="O8" s="27"/>
      <c r="P8" s="29"/>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56" t="s">
        <v>65</v>
      </c>
      <c r="C11" s="56" t="s">
        <v>70</v>
      </c>
      <c r="D11" s="56" t="s">
        <v>71</v>
      </c>
      <c r="E11" s="59" t="s">
        <v>72</v>
      </c>
      <c r="F11" s="29"/>
      <c r="G11" s="61" t="s">
        <v>77</v>
      </c>
      <c r="H11" s="63" t="s">
        <v>79</v>
      </c>
      <c r="I11" s="29"/>
      <c r="J11" s="56" t="s">
        <v>84</v>
      </c>
      <c r="K11" s="1"/>
      <c r="L11" s="1"/>
      <c r="M11" s="1"/>
      <c r="N11" s="1"/>
      <c r="O11" s="1"/>
      <c r="P11" s="1"/>
      <c r="Q11" s="1"/>
      <c r="R11" s="1"/>
      <c r="S11" s="1"/>
      <c r="T11" s="1"/>
      <c r="U11" s="1"/>
      <c r="V11" s="1"/>
      <c r="W11" s="1"/>
      <c r="X11" s="1"/>
      <c r="Y11" s="1"/>
      <c r="Z11" s="1"/>
    </row>
    <row r="12">
      <c r="A12" s="1"/>
      <c r="B12" s="66">
        <v>1.0</v>
      </c>
      <c r="C12" s="67" t="s">
        <v>88</v>
      </c>
      <c r="D12" s="70" t="s">
        <v>91</v>
      </c>
      <c r="E12" s="73" t="s">
        <v>99</v>
      </c>
      <c r="F12" s="29"/>
      <c r="G12" s="75" t="s">
        <v>105</v>
      </c>
      <c r="H12" s="76" t="s">
        <v>109</v>
      </c>
      <c r="I12" s="29"/>
      <c r="J12" s="81" t="s">
        <v>113</v>
      </c>
      <c r="K12" s="1"/>
      <c r="L12" s="1"/>
      <c r="M12" s="1"/>
      <c r="N12" s="1"/>
      <c r="O12" s="1"/>
      <c r="P12" s="1"/>
      <c r="Q12" s="1"/>
      <c r="R12" s="1"/>
      <c r="S12" s="1"/>
      <c r="T12" s="1"/>
      <c r="U12" s="1"/>
      <c r="V12" s="1"/>
      <c r="W12" s="1"/>
      <c r="X12" s="1"/>
      <c r="Y12" s="1"/>
      <c r="Z12" s="1"/>
    </row>
    <row r="13">
      <c r="A13" s="1"/>
      <c r="B13" s="83"/>
      <c r="C13" s="88" t="str">
        <f>D12 &amp; " " &amp; E12 &amp; " " &amp;G12&amp; " " &amp;H12&amp; " " </f>
        <v>Identifica motivaciones y estructura esencial de un compilador mediante un repaso práctico de análisis sintáctico para establecer las bases teóricas del curso </v>
      </c>
      <c r="D13" s="27"/>
      <c r="E13" s="27"/>
      <c r="F13" s="27"/>
      <c r="G13" s="27"/>
      <c r="H13" s="27"/>
      <c r="I13" s="27"/>
      <c r="J13" s="29"/>
      <c r="K13" s="1"/>
      <c r="L13" s="1"/>
      <c r="M13" s="1"/>
      <c r="N13" s="1"/>
      <c r="O13" s="1"/>
      <c r="P13" s="1"/>
      <c r="Q13" s="1"/>
      <c r="R13" s="1"/>
      <c r="S13" s="1"/>
      <c r="T13" s="1"/>
      <c r="U13" s="1"/>
      <c r="V13" s="1"/>
      <c r="W13" s="1"/>
      <c r="X13" s="1"/>
      <c r="Y13" s="1"/>
      <c r="Z13" s="1"/>
    </row>
    <row r="14">
      <c r="A14" s="1"/>
      <c r="B14" s="66">
        <v>2.0</v>
      </c>
      <c r="C14" s="89" t="s">
        <v>137</v>
      </c>
      <c r="D14" s="70" t="s">
        <v>138</v>
      </c>
      <c r="E14" s="73" t="s">
        <v>141</v>
      </c>
      <c r="F14" s="29"/>
      <c r="G14" s="75" t="s">
        <v>142</v>
      </c>
      <c r="H14" s="76" t="s">
        <v>144</v>
      </c>
      <c r="I14" s="29"/>
      <c r="J14" s="81" t="s">
        <v>149</v>
      </c>
      <c r="K14" s="1"/>
      <c r="L14" s="1"/>
      <c r="M14" s="1"/>
      <c r="N14" s="1"/>
      <c r="O14" s="1"/>
      <c r="P14" s="1"/>
      <c r="Q14" s="1"/>
      <c r="R14" s="1"/>
      <c r="S14" s="1"/>
      <c r="T14" s="1"/>
      <c r="U14" s="1"/>
      <c r="V14" s="1"/>
      <c r="W14" s="1"/>
      <c r="X14" s="1"/>
      <c r="Y14" s="1"/>
      <c r="Z14" s="1"/>
    </row>
    <row r="15">
      <c r="A15" s="1"/>
      <c r="B15" s="83"/>
      <c r="C15" s="88" t="str">
        <f>D14 &amp; " " &amp; E14 &amp; " " &amp;G14&amp; " " &amp;H14&amp; " " </f>
        <v>Analiza estructuras de lenguaje mediante la aplicación de reglas formales para la generación de gramáticas </v>
      </c>
      <c r="D15" s="27"/>
      <c r="E15" s="27"/>
      <c r="F15" s="27"/>
      <c r="G15" s="27"/>
      <c r="H15" s="27"/>
      <c r="I15" s="27"/>
      <c r="J15" s="29"/>
      <c r="K15" s="1"/>
      <c r="L15" s="1"/>
      <c r="M15" s="1"/>
      <c r="N15" s="1"/>
      <c r="O15" s="1"/>
      <c r="P15" s="1"/>
      <c r="Q15" s="1"/>
      <c r="R15" s="1"/>
      <c r="S15" s="1"/>
      <c r="T15" s="1"/>
      <c r="U15" s="1"/>
      <c r="V15" s="1"/>
      <c r="W15" s="1"/>
      <c r="X15" s="1"/>
      <c r="Y15" s="1"/>
      <c r="Z15" s="1"/>
    </row>
    <row r="16">
      <c r="A16" s="1"/>
      <c r="B16" s="66">
        <v>3.0</v>
      </c>
      <c r="C16" s="89" t="s">
        <v>137</v>
      </c>
      <c r="D16" s="70" t="s">
        <v>138</v>
      </c>
      <c r="E16" s="73" t="s">
        <v>157</v>
      </c>
      <c r="F16" s="29"/>
      <c r="G16" s="75" t="s">
        <v>159</v>
      </c>
      <c r="H16" s="76" t="s">
        <v>160</v>
      </c>
      <c r="I16" s="29"/>
      <c r="J16" s="81" t="s">
        <v>149</v>
      </c>
      <c r="K16" s="1"/>
      <c r="L16" s="1"/>
      <c r="M16" s="1"/>
      <c r="N16" s="1"/>
      <c r="O16" s="1"/>
      <c r="P16" s="1"/>
      <c r="Q16" s="1"/>
      <c r="R16" s="1"/>
      <c r="S16" s="1"/>
      <c r="T16" s="1"/>
      <c r="U16" s="1"/>
      <c r="V16" s="1"/>
      <c r="W16" s="1"/>
      <c r="X16" s="1"/>
      <c r="Y16" s="1"/>
      <c r="Z16" s="1"/>
    </row>
    <row r="17">
      <c r="A17" s="1"/>
      <c r="B17" s="83"/>
      <c r="C17" s="88" t="str">
        <f>D16 &amp; " " &amp; E16 &amp; " " &amp;G16&amp; " " &amp;H16&amp; " " </f>
        <v>Analiza la semántica de un lenguaje de programación mediante la validación de tipos, alcance y estructuras de control para determinar la corrección de expresiones y sentencias </v>
      </c>
      <c r="D17" s="27"/>
      <c r="E17" s="27"/>
      <c r="F17" s="27"/>
      <c r="G17" s="27"/>
      <c r="H17" s="27"/>
      <c r="I17" s="27"/>
      <c r="J17" s="29"/>
      <c r="K17" s="1"/>
      <c r="L17" s="1"/>
      <c r="M17" s="1"/>
      <c r="N17" s="1"/>
      <c r="O17" s="1"/>
      <c r="P17" s="1"/>
      <c r="Q17" s="1"/>
      <c r="R17" s="1"/>
      <c r="S17" s="1"/>
      <c r="T17" s="1"/>
      <c r="U17" s="1"/>
      <c r="V17" s="1"/>
      <c r="W17" s="1"/>
      <c r="X17" s="1"/>
      <c r="Y17" s="1"/>
      <c r="Z17" s="1"/>
    </row>
    <row r="18">
      <c r="A18" s="1"/>
      <c r="B18" s="66">
        <v>4.0</v>
      </c>
      <c r="C18" s="89" t="s">
        <v>137</v>
      </c>
      <c r="D18" s="70" t="s">
        <v>162</v>
      </c>
      <c r="E18" s="73" t="s">
        <v>163</v>
      </c>
      <c r="F18" s="29"/>
      <c r="G18" s="75" t="s">
        <v>165</v>
      </c>
      <c r="H18" s="76" t="s">
        <v>166</v>
      </c>
      <c r="I18" s="29"/>
      <c r="J18" s="81" t="s">
        <v>167</v>
      </c>
      <c r="K18" s="1"/>
      <c r="L18" s="1"/>
      <c r="M18" s="1"/>
      <c r="N18" s="1"/>
      <c r="O18" s="1"/>
      <c r="P18" s="1"/>
      <c r="Q18" s="1"/>
      <c r="R18" s="1"/>
      <c r="S18" s="1"/>
      <c r="T18" s="1"/>
      <c r="U18" s="1"/>
      <c r="V18" s="1"/>
      <c r="W18" s="1"/>
      <c r="X18" s="1"/>
      <c r="Y18" s="1"/>
      <c r="Z18" s="1"/>
    </row>
    <row r="19">
      <c r="A19" s="1"/>
      <c r="B19" s="83"/>
      <c r="C19" s="88" t="str">
        <f>D18 &amp; " " &amp; E18 &amp; " " &amp;G18&amp; " " &amp;H18&amp; " " </f>
        <v>Evalua la representacion semantica de funciones y objetos mediante el análisis de alcance, tipos y tabla de simbolos para determinar su correcta representación en interpretes y compiladores </v>
      </c>
      <c r="D19" s="27"/>
      <c r="E19" s="27"/>
      <c r="F19" s="27"/>
      <c r="G19" s="27"/>
      <c r="H19" s="27"/>
      <c r="I19" s="27"/>
      <c r="J19" s="29"/>
      <c r="K19" s="1"/>
      <c r="L19" s="1"/>
      <c r="M19" s="1"/>
      <c r="N19" s="1"/>
      <c r="O19" s="1"/>
      <c r="P19" s="1"/>
      <c r="Q19" s="1"/>
      <c r="R19" s="1"/>
      <c r="S19" s="1"/>
      <c r="T19" s="1"/>
      <c r="U19" s="1"/>
      <c r="V19" s="1"/>
      <c r="W19" s="1"/>
      <c r="X19" s="1"/>
      <c r="Y19" s="1"/>
      <c r="Z19" s="1"/>
    </row>
    <row r="20">
      <c r="A20" s="1"/>
      <c r="B20" s="66">
        <v>5.0</v>
      </c>
      <c r="C20" s="89" t="s">
        <v>137</v>
      </c>
      <c r="D20" s="70" t="s">
        <v>138</v>
      </c>
      <c r="E20" s="73" t="s">
        <v>170</v>
      </c>
      <c r="F20" s="29"/>
      <c r="G20" s="75" t="s">
        <v>171</v>
      </c>
      <c r="H20" s="76" t="s">
        <v>172</v>
      </c>
      <c r="I20" s="29"/>
      <c r="J20" s="81" t="s">
        <v>113</v>
      </c>
      <c r="K20" s="1"/>
      <c r="L20" s="1"/>
      <c r="M20" s="1"/>
      <c r="N20" s="1"/>
      <c r="O20" s="1"/>
      <c r="P20" s="1"/>
      <c r="Q20" s="1"/>
      <c r="R20" s="1"/>
      <c r="S20" s="1"/>
      <c r="T20" s="1"/>
      <c r="U20" s="1"/>
      <c r="V20" s="1"/>
      <c r="W20" s="1"/>
      <c r="X20" s="1"/>
      <c r="Y20" s="1"/>
      <c r="Z20" s="1"/>
    </row>
    <row r="21">
      <c r="A21" s="1"/>
      <c r="B21" s="83"/>
      <c r="C21" s="88" t="str">
        <f>D20 &amp; " " &amp; E20 &amp; " " &amp;G20&amp; " " &amp;H20&amp; " " </f>
        <v>Analiza las equivalencias sintácticas y semánticas de un lenguaje de alto nivel mediante el mapeo de construcciones a instrucciones de Representación Intermedia tales como C3D, cuádruplas o Bytecode. </v>
      </c>
      <c r="D21" s="27"/>
      <c r="E21" s="27"/>
      <c r="F21" s="27"/>
      <c r="G21" s="27"/>
      <c r="H21" s="27"/>
      <c r="I21" s="27"/>
      <c r="J21" s="29"/>
      <c r="K21" s="1"/>
      <c r="L21" s="1"/>
      <c r="M21" s="1"/>
      <c r="N21" s="1"/>
      <c r="O21" s="1"/>
      <c r="P21" s="1"/>
      <c r="Q21" s="1"/>
      <c r="R21" s="1"/>
      <c r="S21" s="1"/>
      <c r="T21" s="1"/>
      <c r="U21" s="1"/>
      <c r="V21" s="1"/>
      <c r="W21" s="1"/>
      <c r="X21" s="1"/>
      <c r="Y21" s="1"/>
      <c r="Z21" s="1"/>
    </row>
    <row r="22">
      <c r="A22" s="1"/>
      <c r="B22" s="66">
        <v>6.0</v>
      </c>
      <c r="C22" s="89" t="s">
        <v>137</v>
      </c>
      <c r="D22" s="70" t="s">
        <v>173</v>
      </c>
      <c r="E22" s="73" t="s">
        <v>174</v>
      </c>
      <c r="F22" s="29"/>
      <c r="G22" s="75" t="s">
        <v>175</v>
      </c>
      <c r="H22" s="76" t="s">
        <v>176</v>
      </c>
      <c r="I22" s="29"/>
      <c r="J22" s="81" t="s">
        <v>177</v>
      </c>
      <c r="K22" s="1"/>
      <c r="L22" s="1"/>
      <c r="M22" s="1"/>
      <c r="N22" s="1"/>
      <c r="O22" s="1"/>
      <c r="P22" s="1"/>
      <c r="Q22" s="1"/>
      <c r="R22" s="1"/>
      <c r="S22" s="1"/>
      <c r="T22" s="1"/>
      <c r="U22" s="1"/>
      <c r="V22" s="1"/>
      <c r="W22" s="1"/>
      <c r="X22" s="1"/>
      <c r="Y22" s="1"/>
      <c r="Z22" s="1"/>
    </row>
    <row r="23">
      <c r="A23" s="1"/>
      <c r="B23" s="83"/>
      <c r="C23" s="88" t="str">
        <f>D22 &amp; " " &amp; E22 &amp; " " &amp;G22&amp; " " &amp;H22&amp; " " </f>
        <v>Generar un intérprete utilizando herramientas generadoras de parser en un lenguaje dado realizando el análisis semántico durante la ejecución. </v>
      </c>
      <c r="D23" s="27"/>
      <c r="E23" s="27"/>
      <c r="F23" s="27"/>
      <c r="G23" s="27"/>
      <c r="H23" s="27"/>
      <c r="I23" s="27"/>
      <c r="J23" s="29"/>
      <c r="K23" s="1"/>
      <c r="L23" s="1"/>
      <c r="M23" s="1"/>
      <c r="N23" s="1"/>
      <c r="O23" s="1"/>
      <c r="P23" s="1"/>
      <c r="Q23" s="1"/>
      <c r="R23" s="1"/>
      <c r="S23" s="1"/>
      <c r="T23" s="1"/>
      <c r="U23" s="1"/>
      <c r="V23" s="1"/>
      <c r="W23" s="1"/>
      <c r="X23" s="1"/>
      <c r="Y23" s="1"/>
      <c r="Z23" s="1"/>
    </row>
    <row r="24">
      <c r="A24" s="1"/>
      <c r="B24" s="66">
        <v>7.0</v>
      </c>
      <c r="C24" s="89" t="s">
        <v>137</v>
      </c>
      <c r="D24" s="70" t="s">
        <v>173</v>
      </c>
      <c r="E24" s="73" t="s">
        <v>178</v>
      </c>
      <c r="F24" s="29"/>
      <c r="G24" s="75" t="s">
        <v>179</v>
      </c>
      <c r="H24" s="76" t="s">
        <v>180</v>
      </c>
      <c r="I24" s="29"/>
      <c r="J24" s="81" t="s">
        <v>181</v>
      </c>
      <c r="K24" s="1"/>
      <c r="L24" s="1"/>
      <c r="M24" s="1"/>
      <c r="N24" s="1"/>
      <c r="O24" s="1"/>
      <c r="P24" s="1"/>
      <c r="Q24" s="1"/>
      <c r="R24" s="1"/>
      <c r="S24" s="1"/>
      <c r="T24" s="1"/>
      <c r="U24" s="1"/>
      <c r="V24" s="1"/>
      <c r="W24" s="1"/>
      <c r="X24" s="1"/>
      <c r="Y24" s="1"/>
      <c r="Z24" s="1"/>
    </row>
    <row r="25">
      <c r="A25" s="1"/>
      <c r="B25" s="83"/>
      <c r="C25" s="88" t="str">
        <f>D24 &amp; " " &amp; E24 &amp; " " &amp;G24&amp; " " &amp;H24&amp; " " </f>
        <v>Generar un compilador utilizando como representación intermedia lenguajes ensambladores como RISC-V o Aarch64 </v>
      </c>
      <c r="D25" s="27"/>
      <c r="E25" s="27"/>
      <c r="F25" s="27"/>
      <c r="G25" s="27"/>
      <c r="H25" s="27"/>
      <c r="I25" s="27"/>
      <c r="J25" s="29"/>
      <c r="K25" s="1"/>
      <c r="L25" s="99" t="s">
        <v>185</v>
      </c>
      <c r="M25" s="1"/>
      <c r="N25" s="1"/>
      <c r="O25" s="1"/>
      <c r="P25" s="1"/>
      <c r="Q25" s="1"/>
      <c r="R25" s="1"/>
      <c r="S25" s="1"/>
      <c r="T25" s="1"/>
      <c r="U25" s="1"/>
      <c r="V25" s="1"/>
      <c r="W25" s="1"/>
      <c r="X25" s="1"/>
      <c r="Y25" s="1"/>
      <c r="Z25" s="1"/>
    </row>
    <row r="26">
      <c r="A26" s="1"/>
      <c r="B26" s="1"/>
      <c r="C26" s="1"/>
      <c r="D26" s="1"/>
      <c r="E26" s="1"/>
      <c r="F26" s="1"/>
      <c r="G26" s="1"/>
      <c r="H26" s="1"/>
      <c r="I26" s="1"/>
      <c r="J26" s="1"/>
      <c r="K26" s="1"/>
      <c r="L26" s="99" t="s">
        <v>186</v>
      </c>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00" t="s">
        <v>187</v>
      </c>
      <c r="C28" s="27"/>
      <c r="D28" s="27"/>
      <c r="E28" s="27"/>
      <c r="F28" s="27"/>
      <c r="G28" s="27"/>
      <c r="H28" s="27"/>
      <c r="I28" s="27"/>
      <c r="J28" s="29"/>
      <c r="K28" s="1"/>
      <c r="L28" s="1"/>
      <c r="M28" s="1"/>
      <c r="N28" s="1"/>
      <c r="O28" s="1"/>
      <c r="P28" s="1"/>
      <c r="Q28" s="1"/>
      <c r="R28" s="1"/>
      <c r="S28" s="1"/>
      <c r="T28" s="1"/>
      <c r="U28" s="1"/>
      <c r="V28" s="1"/>
      <c r="W28" s="1"/>
      <c r="X28" s="1"/>
      <c r="Y28" s="1"/>
      <c r="Z28" s="1"/>
    </row>
    <row r="29">
      <c r="A29" s="1"/>
      <c r="B29" s="101"/>
      <c r="C29" s="102"/>
      <c r="D29" s="102"/>
      <c r="E29" s="102"/>
      <c r="F29" s="102"/>
      <c r="G29" s="102"/>
      <c r="H29" s="102"/>
      <c r="I29" s="102"/>
      <c r="J29" s="103"/>
      <c r="K29" s="1"/>
      <c r="L29" s="1"/>
      <c r="M29" s="1"/>
      <c r="N29" s="1"/>
      <c r="O29" s="1"/>
      <c r="P29" s="1"/>
      <c r="Q29" s="1"/>
      <c r="R29" s="1"/>
      <c r="S29" s="1"/>
      <c r="T29" s="1"/>
      <c r="U29" s="1"/>
      <c r="V29" s="1"/>
      <c r="W29" s="1"/>
      <c r="X29" s="1"/>
      <c r="Y29" s="1"/>
      <c r="Z29" s="1"/>
    </row>
    <row r="30">
      <c r="A30" s="1"/>
      <c r="B30" s="104"/>
      <c r="C30" s="105"/>
      <c r="D30" s="105"/>
      <c r="E30" s="105"/>
      <c r="F30" s="105"/>
      <c r="G30" s="105"/>
      <c r="H30" s="105"/>
      <c r="I30" s="105"/>
      <c r="J30" s="106"/>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sheetData>
  <mergeCells count="36">
    <mergeCell ref="J6:P6"/>
    <mergeCell ref="J7:P7"/>
    <mergeCell ref="B1:P1"/>
    <mergeCell ref="C2:H2"/>
    <mergeCell ref="C3:H3"/>
    <mergeCell ref="B5:G5"/>
    <mergeCell ref="I5:P5"/>
    <mergeCell ref="C6:G6"/>
    <mergeCell ref="C7:G7"/>
    <mergeCell ref="C8:G8"/>
    <mergeCell ref="J8:P8"/>
    <mergeCell ref="E11:F11"/>
    <mergeCell ref="H11:I11"/>
    <mergeCell ref="E12:F12"/>
    <mergeCell ref="H12:I12"/>
    <mergeCell ref="C13:J13"/>
    <mergeCell ref="E14:F14"/>
    <mergeCell ref="H14:I14"/>
    <mergeCell ref="C15:J15"/>
    <mergeCell ref="E16:F16"/>
    <mergeCell ref="H16:I16"/>
    <mergeCell ref="C17:J17"/>
    <mergeCell ref="E18:F18"/>
    <mergeCell ref="E22:F22"/>
    <mergeCell ref="E24:F24"/>
    <mergeCell ref="H24:I24"/>
    <mergeCell ref="C25:J25"/>
    <mergeCell ref="B28:J28"/>
    <mergeCell ref="B29:J30"/>
    <mergeCell ref="H18:I18"/>
    <mergeCell ref="C19:J19"/>
    <mergeCell ref="E20:F20"/>
    <mergeCell ref="H20:I20"/>
    <mergeCell ref="C21:J21"/>
    <mergeCell ref="H22:I22"/>
    <mergeCell ref="C23:J23"/>
  </mergeCells>
  <dataValidations>
    <dataValidation type="list" allowBlank="1" showErrorMessage="1" sqref="C2">
      <formula1>Metadata!$A$2:$A$81</formula1>
    </dataValidation>
    <dataValidation type="list" allowBlank="1" showErrorMessage="1" sqref="C6:C8">
      <formula1>Metadata!$C$2:$C$10</formula1>
    </dataValidation>
    <dataValidation type="list" allowBlank="1" showErrorMessage="1" sqref="J6:J8">
      <formula1>Metadata!$D$2:$D$10</formula1>
    </dataValidation>
  </dataValidations>
  <hyperlinks>
    <hyperlink r:id="rId1" ref="L25"/>
    <hyperlink r:id="rId2" ref="L26"/>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75"/>
    <col customWidth="1" min="2" max="2" width="21.88"/>
    <col customWidth="1" min="3" max="3" width="50.38"/>
    <col customWidth="1" min="4" max="4" width="26.63"/>
  </cols>
  <sheetData>
    <row r="1">
      <c r="A1" s="2"/>
      <c r="B1" s="2"/>
      <c r="C1" s="2"/>
      <c r="D1" s="2"/>
      <c r="E1" s="2"/>
      <c r="F1" s="5"/>
      <c r="G1" s="2"/>
      <c r="H1" s="2"/>
      <c r="I1" s="2"/>
      <c r="J1" s="2"/>
      <c r="K1" s="2"/>
      <c r="L1" s="2"/>
      <c r="M1" s="2"/>
      <c r="N1" s="2"/>
      <c r="O1" s="2"/>
      <c r="P1" s="2"/>
      <c r="Q1" s="2"/>
      <c r="R1" s="2"/>
      <c r="S1" s="2"/>
      <c r="T1" s="2"/>
      <c r="U1" s="2"/>
      <c r="V1" s="2"/>
      <c r="W1" s="2"/>
      <c r="X1" s="2"/>
      <c r="Y1" s="2"/>
      <c r="Z1" s="2"/>
    </row>
    <row r="2">
      <c r="A2" s="8"/>
      <c r="B2" s="9" t="s">
        <v>3</v>
      </c>
      <c r="I2" s="2"/>
      <c r="J2" s="2"/>
      <c r="K2" s="2"/>
      <c r="L2" s="2"/>
      <c r="M2" s="2"/>
      <c r="N2" s="2"/>
      <c r="O2" s="2"/>
      <c r="P2" s="2"/>
      <c r="Q2" s="2"/>
      <c r="R2" s="2"/>
      <c r="S2" s="2"/>
      <c r="T2" s="2"/>
      <c r="U2" s="2"/>
      <c r="V2" s="2"/>
      <c r="W2" s="2"/>
      <c r="X2" s="2"/>
      <c r="Y2" s="2"/>
      <c r="Z2" s="2"/>
    </row>
    <row r="3">
      <c r="A3" s="2"/>
      <c r="B3" s="2"/>
      <c r="C3" s="2"/>
      <c r="D3" s="2"/>
      <c r="E3" s="2"/>
      <c r="F3" s="5"/>
      <c r="G3" s="2"/>
      <c r="H3" s="2"/>
      <c r="I3" s="2"/>
      <c r="J3" s="2"/>
      <c r="K3" s="2"/>
      <c r="L3" s="2"/>
      <c r="M3" s="2"/>
      <c r="N3" s="2"/>
      <c r="O3" s="2"/>
      <c r="P3" s="2"/>
      <c r="Q3" s="2"/>
      <c r="R3" s="2"/>
      <c r="S3" s="2"/>
      <c r="T3" s="2"/>
      <c r="U3" s="2"/>
      <c r="V3" s="2"/>
      <c r="W3" s="2"/>
      <c r="X3" s="2"/>
      <c r="Y3" s="2"/>
      <c r="Z3" s="2"/>
    </row>
    <row r="4">
      <c r="A4" s="2"/>
      <c r="B4" s="10" t="s">
        <v>1</v>
      </c>
      <c r="C4" s="14" t="s">
        <v>4</v>
      </c>
      <c r="I4" s="2"/>
      <c r="J4" s="2"/>
      <c r="K4" s="2"/>
      <c r="L4" s="2"/>
      <c r="M4" s="2"/>
      <c r="N4" s="2"/>
      <c r="O4" s="2"/>
      <c r="P4" s="2"/>
      <c r="Q4" s="2"/>
      <c r="R4" s="2"/>
      <c r="S4" s="2"/>
      <c r="T4" s="2"/>
      <c r="U4" s="2"/>
      <c r="V4" s="2"/>
      <c r="W4" s="2"/>
      <c r="X4" s="2"/>
      <c r="Y4" s="2"/>
      <c r="Z4" s="2"/>
    </row>
    <row r="5">
      <c r="A5" s="2"/>
      <c r="B5" s="10" t="s">
        <v>7</v>
      </c>
      <c r="C5" s="17" t="s">
        <v>6</v>
      </c>
      <c r="I5" s="2"/>
      <c r="J5" s="2"/>
      <c r="K5" s="2"/>
      <c r="L5" s="2"/>
      <c r="M5" s="2"/>
      <c r="N5" s="2"/>
      <c r="O5" s="2"/>
      <c r="P5" s="2"/>
      <c r="Q5" s="2"/>
      <c r="R5" s="2"/>
      <c r="S5" s="2"/>
      <c r="T5" s="2"/>
      <c r="U5" s="2"/>
      <c r="V5" s="2"/>
      <c r="W5" s="2"/>
      <c r="X5" s="2"/>
      <c r="Y5" s="2"/>
      <c r="Z5" s="2"/>
    </row>
    <row r="6">
      <c r="A6" s="2"/>
      <c r="B6" s="2"/>
      <c r="C6" s="2"/>
      <c r="D6" s="2"/>
      <c r="E6" s="2"/>
      <c r="F6" s="5"/>
      <c r="G6" s="2"/>
      <c r="H6" s="20"/>
      <c r="I6" s="2"/>
      <c r="J6" s="2"/>
      <c r="K6" s="2"/>
      <c r="L6" s="2"/>
      <c r="M6" s="2"/>
      <c r="N6" s="2"/>
      <c r="O6" s="2"/>
      <c r="P6" s="2"/>
      <c r="Q6" s="2"/>
      <c r="R6" s="2"/>
      <c r="S6" s="2"/>
      <c r="T6" s="2"/>
      <c r="U6" s="2"/>
      <c r="V6" s="2"/>
      <c r="W6" s="2"/>
      <c r="X6" s="2"/>
      <c r="Y6" s="2"/>
      <c r="Z6" s="2"/>
    </row>
    <row r="7">
      <c r="A7" s="2"/>
      <c r="B7" s="2"/>
      <c r="C7" s="2"/>
      <c r="D7" s="2"/>
      <c r="E7" s="2"/>
      <c r="F7" s="5"/>
      <c r="G7" s="2"/>
      <c r="H7" s="20"/>
      <c r="I7" s="2"/>
      <c r="J7" s="2"/>
      <c r="K7" s="2"/>
      <c r="L7" s="2"/>
      <c r="M7" s="2"/>
      <c r="N7" s="2"/>
      <c r="O7" s="2"/>
      <c r="P7" s="2"/>
      <c r="Q7" s="2"/>
      <c r="R7" s="2"/>
      <c r="S7" s="2"/>
      <c r="T7" s="2"/>
      <c r="U7" s="2"/>
      <c r="V7" s="2"/>
      <c r="W7" s="2"/>
      <c r="X7" s="2"/>
      <c r="Y7" s="2"/>
      <c r="Z7" s="2"/>
    </row>
    <row r="8">
      <c r="A8" s="22"/>
      <c r="B8" s="24" t="s">
        <v>16</v>
      </c>
      <c r="C8" s="24" t="s">
        <v>17</v>
      </c>
      <c r="D8" s="24" t="s">
        <v>18</v>
      </c>
      <c r="E8" s="24" t="s">
        <v>19</v>
      </c>
      <c r="F8" s="24" t="s">
        <v>20</v>
      </c>
      <c r="G8" s="24" t="s">
        <v>21</v>
      </c>
      <c r="H8" s="24" t="s">
        <v>22</v>
      </c>
      <c r="I8" s="2"/>
      <c r="J8" s="2"/>
      <c r="K8" s="2"/>
      <c r="L8" s="2"/>
      <c r="M8" s="2"/>
      <c r="N8" s="2"/>
      <c r="O8" s="2"/>
      <c r="P8" s="2"/>
      <c r="Q8" s="2"/>
      <c r="R8" s="2"/>
      <c r="S8" s="2"/>
      <c r="T8" s="2"/>
      <c r="U8" s="2"/>
      <c r="V8" s="2"/>
      <c r="W8" s="2"/>
      <c r="X8" s="2"/>
      <c r="Y8" s="2"/>
      <c r="Z8" s="2"/>
    </row>
    <row r="9">
      <c r="A9" s="2"/>
      <c r="B9" s="26">
        <v>1.0</v>
      </c>
      <c r="C9" s="28" t="s">
        <v>23</v>
      </c>
      <c r="D9" s="26">
        <v>1.0</v>
      </c>
      <c r="E9" s="28" t="s">
        <v>24</v>
      </c>
      <c r="F9" s="26" t="s">
        <v>25</v>
      </c>
      <c r="G9" s="28" t="s">
        <v>26</v>
      </c>
      <c r="H9" s="28">
        <v>1.0</v>
      </c>
      <c r="I9" s="2"/>
      <c r="J9" s="2"/>
      <c r="K9" s="2"/>
      <c r="L9" s="2"/>
      <c r="M9" s="2"/>
      <c r="N9" s="2"/>
      <c r="O9" s="2"/>
      <c r="P9" s="2"/>
      <c r="Q9" s="2"/>
      <c r="R9" s="2"/>
      <c r="S9" s="2"/>
      <c r="T9" s="2"/>
      <c r="U9" s="2"/>
      <c r="V9" s="2"/>
      <c r="W9" s="2"/>
      <c r="X9" s="2"/>
      <c r="Y9" s="2"/>
      <c r="Z9" s="2"/>
    </row>
    <row r="10">
      <c r="A10" s="2"/>
      <c r="B10" s="26">
        <v>2.0</v>
      </c>
      <c r="C10" s="28" t="s">
        <v>23</v>
      </c>
      <c r="D10" s="33">
        <v>1.0</v>
      </c>
      <c r="E10" s="28" t="s">
        <v>24</v>
      </c>
      <c r="F10" s="28" t="s">
        <v>29</v>
      </c>
      <c r="G10" s="28" t="s">
        <v>26</v>
      </c>
      <c r="H10" s="28">
        <v>1.0</v>
      </c>
      <c r="I10" s="2"/>
      <c r="J10" s="2"/>
      <c r="K10" s="2"/>
      <c r="L10" s="2"/>
      <c r="M10" s="2"/>
      <c r="N10" s="2"/>
      <c r="O10" s="2"/>
      <c r="P10" s="2"/>
      <c r="Q10" s="2"/>
      <c r="R10" s="2"/>
      <c r="S10" s="2"/>
      <c r="T10" s="2"/>
      <c r="U10" s="2"/>
      <c r="V10" s="2"/>
      <c r="W10" s="2"/>
      <c r="X10" s="2"/>
      <c r="Y10" s="2"/>
      <c r="Z10" s="2"/>
    </row>
    <row r="11">
      <c r="A11" s="2"/>
      <c r="B11" s="26">
        <v>3.0</v>
      </c>
      <c r="C11" s="28" t="s">
        <v>23</v>
      </c>
      <c r="D11" s="37">
        <v>1.0</v>
      </c>
      <c r="E11" s="28" t="s">
        <v>24</v>
      </c>
      <c r="F11" s="37" t="s">
        <v>34</v>
      </c>
      <c r="G11" s="28" t="s">
        <v>26</v>
      </c>
      <c r="H11" s="28">
        <v>1.0</v>
      </c>
      <c r="I11" s="2"/>
      <c r="J11" s="2"/>
      <c r="K11" s="2"/>
      <c r="L11" s="2"/>
      <c r="M11" s="2"/>
      <c r="N11" s="2"/>
      <c r="O11" s="2"/>
      <c r="P11" s="2"/>
      <c r="Q11" s="2"/>
      <c r="R11" s="2"/>
      <c r="S11" s="2"/>
      <c r="T11" s="2"/>
      <c r="U11" s="2"/>
      <c r="V11" s="2"/>
      <c r="W11" s="2"/>
      <c r="X11" s="2"/>
      <c r="Y11" s="2"/>
      <c r="Z11" s="2"/>
    </row>
    <row r="12">
      <c r="A12" s="2"/>
      <c r="B12" s="26">
        <v>4.0</v>
      </c>
      <c r="C12" s="28" t="s">
        <v>23</v>
      </c>
      <c r="D12" s="37">
        <v>1.0</v>
      </c>
      <c r="E12" s="28" t="s">
        <v>24</v>
      </c>
      <c r="F12" s="37" t="s">
        <v>36</v>
      </c>
      <c r="G12" s="28" t="s">
        <v>26</v>
      </c>
      <c r="H12" s="28">
        <v>1.0</v>
      </c>
      <c r="I12" s="2"/>
      <c r="J12" s="2"/>
      <c r="K12" s="2"/>
      <c r="L12" s="2"/>
      <c r="M12" s="2"/>
      <c r="N12" s="2"/>
      <c r="O12" s="2"/>
      <c r="P12" s="2"/>
      <c r="Q12" s="2"/>
      <c r="R12" s="2"/>
      <c r="S12" s="2"/>
      <c r="T12" s="2"/>
      <c r="U12" s="2"/>
      <c r="V12" s="2"/>
      <c r="W12" s="2"/>
      <c r="X12" s="2"/>
      <c r="Y12" s="2"/>
      <c r="Z12" s="2"/>
    </row>
    <row r="13">
      <c r="A13" s="2"/>
      <c r="B13" s="26">
        <v>5.0</v>
      </c>
      <c r="C13" s="28" t="s">
        <v>37</v>
      </c>
      <c r="D13" s="37">
        <v>1.0</v>
      </c>
      <c r="E13" s="37" t="s">
        <v>38</v>
      </c>
      <c r="F13" s="43" t="s">
        <v>40</v>
      </c>
      <c r="G13" s="28" t="s">
        <v>26</v>
      </c>
      <c r="H13" s="28">
        <v>2.0</v>
      </c>
      <c r="I13" s="2"/>
      <c r="J13" s="2"/>
      <c r="K13" s="2"/>
      <c r="L13" s="2"/>
      <c r="M13" s="2"/>
      <c r="N13" s="2"/>
      <c r="O13" s="2"/>
      <c r="P13" s="2"/>
      <c r="Q13" s="2"/>
      <c r="R13" s="2"/>
      <c r="S13" s="2"/>
      <c r="T13" s="2"/>
      <c r="U13" s="2"/>
      <c r="V13" s="2"/>
      <c r="W13" s="2"/>
      <c r="X13" s="2"/>
      <c r="Y13" s="2"/>
      <c r="Z13" s="2"/>
    </row>
    <row r="14">
      <c r="A14" s="2"/>
      <c r="B14" s="26">
        <v>6.0</v>
      </c>
      <c r="C14" s="28" t="s">
        <v>37</v>
      </c>
      <c r="D14" s="37">
        <v>1.0</v>
      </c>
      <c r="E14" s="37" t="s">
        <v>38</v>
      </c>
      <c r="F14" s="37" t="s">
        <v>42</v>
      </c>
      <c r="G14" s="28" t="s">
        <v>26</v>
      </c>
      <c r="H14" s="28">
        <v>2.0</v>
      </c>
      <c r="I14" s="2"/>
      <c r="J14" s="2"/>
      <c r="K14" s="2"/>
      <c r="L14" s="2"/>
      <c r="M14" s="2"/>
      <c r="N14" s="2"/>
      <c r="O14" s="2"/>
      <c r="P14" s="2"/>
      <c r="Q14" s="2"/>
      <c r="R14" s="2"/>
      <c r="S14" s="2"/>
      <c r="T14" s="2"/>
      <c r="U14" s="2"/>
      <c r="V14" s="2"/>
      <c r="W14" s="2"/>
      <c r="X14" s="2"/>
      <c r="Y14" s="2"/>
      <c r="Z14" s="2"/>
    </row>
    <row r="15">
      <c r="A15" s="2"/>
      <c r="B15" s="26">
        <v>7.0</v>
      </c>
      <c r="C15" s="28" t="s">
        <v>37</v>
      </c>
      <c r="D15" s="37">
        <v>1.0</v>
      </c>
      <c r="E15" s="37" t="s">
        <v>38</v>
      </c>
      <c r="F15" s="37" t="s">
        <v>43</v>
      </c>
      <c r="G15" s="28" t="s">
        <v>26</v>
      </c>
      <c r="H15" s="28">
        <v>2.0</v>
      </c>
      <c r="I15" s="2"/>
      <c r="J15" s="2"/>
      <c r="K15" s="2"/>
      <c r="L15" s="2"/>
      <c r="M15" s="2"/>
      <c r="N15" s="2"/>
      <c r="O15" s="2"/>
      <c r="P15" s="2"/>
      <c r="Q15" s="2"/>
      <c r="R15" s="2"/>
      <c r="S15" s="2"/>
      <c r="T15" s="2"/>
      <c r="U15" s="2"/>
      <c r="V15" s="2"/>
      <c r="W15" s="2"/>
      <c r="X15" s="2"/>
      <c r="Y15" s="2"/>
      <c r="Z15" s="2"/>
    </row>
    <row r="16">
      <c r="A16" s="2"/>
      <c r="B16" s="26">
        <v>8.0</v>
      </c>
      <c r="C16" s="28" t="s">
        <v>37</v>
      </c>
      <c r="D16" s="37">
        <v>1.0</v>
      </c>
      <c r="E16" s="37" t="s">
        <v>38</v>
      </c>
      <c r="F16" s="37" t="s">
        <v>45</v>
      </c>
      <c r="G16" s="28" t="s">
        <v>26</v>
      </c>
      <c r="H16" s="28">
        <v>2.0</v>
      </c>
      <c r="I16" s="2"/>
      <c r="J16" s="2"/>
      <c r="K16" s="2"/>
      <c r="L16" s="2"/>
      <c r="M16" s="2"/>
      <c r="N16" s="2"/>
      <c r="O16" s="2"/>
      <c r="P16" s="2"/>
      <c r="Q16" s="2"/>
      <c r="R16" s="2"/>
      <c r="S16" s="2"/>
      <c r="T16" s="2"/>
      <c r="U16" s="2"/>
      <c r="V16" s="2"/>
      <c r="W16" s="2"/>
      <c r="X16" s="2"/>
      <c r="Y16" s="2"/>
      <c r="Z16" s="2"/>
    </row>
    <row r="17">
      <c r="A17" s="2"/>
      <c r="B17" s="26">
        <v>9.0</v>
      </c>
      <c r="C17" s="28" t="s">
        <v>48</v>
      </c>
      <c r="D17" s="37">
        <v>1.0</v>
      </c>
      <c r="E17" s="37" t="s">
        <v>49</v>
      </c>
      <c r="F17" s="37" t="s">
        <v>50</v>
      </c>
      <c r="G17" s="28" t="s">
        <v>51</v>
      </c>
      <c r="H17" s="28">
        <v>3.0</v>
      </c>
      <c r="I17" s="2"/>
      <c r="J17" s="2"/>
      <c r="K17" s="2"/>
      <c r="L17" s="2"/>
      <c r="M17" s="2"/>
      <c r="N17" s="2"/>
      <c r="O17" s="2"/>
      <c r="P17" s="2"/>
      <c r="Q17" s="2"/>
      <c r="R17" s="2"/>
      <c r="S17" s="2"/>
      <c r="T17" s="2"/>
      <c r="U17" s="2"/>
      <c r="V17" s="2"/>
      <c r="W17" s="2"/>
      <c r="X17" s="2"/>
      <c r="Y17" s="2"/>
      <c r="Z17" s="2"/>
    </row>
    <row r="18">
      <c r="A18" s="2"/>
      <c r="B18" s="26">
        <v>10.0</v>
      </c>
      <c r="C18" s="28" t="s">
        <v>48</v>
      </c>
      <c r="D18" s="37">
        <v>1.0</v>
      </c>
      <c r="E18" s="37" t="s">
        <v>49</v>
      </c>
      <c r="F18" s="37" t="s">
        <v>52</v>
      </c>
      <c r="G18" s="28" t="s">
        <v>51</v>
      </c>
      <c r="H18" s="28">
        <v>3.0</v>
      </c>
      <c r="I18" s="2"/>
      <c r="J18" s="2"/>
      <c r="K18" s="2"/>
      <c r="L18" s="2"/>
      <c r="M18" s="2"/>
      <c r="N18" s="2"/>
      <c r="O18" s="2"/>
      <c r="P18" s="2"/>
      <c r="Q18" s="2"/>
      <c r="R18" s="2"/>
      <c r="S18" s="2"/>
      <c r="T18" s="2"/>
      <c r="U18" s="2"/>
      <c r="V18" s="2"/>
      <c r="W18" s="2"/>
      <c r="X18" s="2"/>
      <c r="Y18" s="2"/>
      <c r="Z18" s="2"/>
    </row>
    <row r="19">
      <c r="A19" s="2"/>
      <c r="B19" s="26">
        <v>11.0</v>
      </c>
      <c r="C19" s="28" t="s">
        <v>48</v>
      </c>
      <c r="D19" s="37">
        <v>1.0</v>
      </c>
      <c r="E19" s="37" t="s">
        <v>49</v>
      </c>
      <c r="F19" s="37" t="s">
        <v>54</v>
      </c>
      <c r="G19" s="28" t="s">
        <v>51</v>
      </c>
      <c r="H19" s="28">
        <v>3.0</v>
      </c>
      <c r="I19" s="2"/>
      <c r="J19" s="2"/>
      <c r="K19" s="2"/>
      <c r="L19" s="2"/>
      <c r="M19" s="2"/>
      <c r="N19" s="2"/>
      <c r="O19" s="2"/>
      <c r="P19" s="2"/>
      <c r="Q19" s="2"/>
      <c r="R19" s="2"/>
      <c r="S19" s="2"/>
      <c r="T19" s="2"/>
      <c r="U19" s="2"/>
      <c r="V19" s="2"/>
      <c r="W19" s="2"/>
      <c r="X19" s="2"/>
      <c r="Y19" s="2"/>
      <c r="Z19" s="2"/>
    </row>
    <row r="20">
      <c r="A20" s="2"/>
      <c r="B20" s="26">
        <v>12.0</v>
      </c>
      <c r="C20" s="28" t="s">
        <v>48</v>
      </c>
      <c r="D20" s="37">
        <v>1.0</v>
      </c>
      <c r="E20" s="37" t="s">
        <v>49</v>
      </c>
      <c r="F20" s="37" t="s">
        <v>57</v>
      </c>
      <c r="G20" s="28" t="s">
        <v>51</v>
      </c>
      <c r="H20" s="28">
        <v>3.0</v>
      </c>
      <c r="I20" s="2"/>
      <c r="J20" s="2"/>
      <c r="K20" s="2"/>
      <c r="L20" s="2"/>
      <c r="M20" s="2"/>
      <c r="N20" s="2"/>
      <c r="O20" s="2"/>
      <c r="P20" s="2"/>
      <c r="Q20" s="2"/>
      <c r="R20" s="2"/>
      <c r="S20" s="2"/>
      <c r="T20" s="2"/>
      <c r="U20" s="2"/>
      <c r="V20" s="2"/>
      <c r="W20" s="2"/>
      <c r="X20" s="2"/>
      <c r="Y20" s="2"/>
      <c r="Z20" s="2"/>
    </row>
    <row r="21">
      <c r="A21" s="2"/>
      <c r="B21" s="26">
        <v>13.0</v>
      </c>
      <c r="C21" s="28" t="s">
        <v>48</v>
      </c>
      <c r="D21" s="37">
        <v>1.0</v>
      </c>
      <c r="E21" s="37" t="s">
        <v>49</v>
      </c>
      <c r="F21" s="37" t="s">
        <v>58</v>
      </c>
      <c r="G21" s="51" t="s">
        <v>51</v>
      </c>
      <c r="H21" s="28">
        <v>4.0</v>
      </c>
      <c r="I21" s="2"/>
      <c r="J21" s="2"/>
      <c r="K21" s="2"/>
      <c r="L21" s="2"/>
      <c r="M21" s="2"/>
      <c r="N21" s="2"/>
      <c r="O21" s="2"/>
      <c r="P21" s="2"/>
      <c r="Q21" s="2"/>
      <c r="R21" s="2"/>
      <c r="S21" s="2"/>
      <c r="T21" s="2"/>
      <c r="U21" s="2"/>
      <c r="V21" s="2"/>
      <c r="W21" s="2"/>
      <c r="X21" s="2"/>
      <c r="Y21" s="2"/>
      <c r="Z21" s="2"/>
    </row>
    <row r="22">
      <c r="A22" s="2"/>
      <c r="B22" s="26">
        <v>14.0</v>
      </c>
      <c r="C22" s="28" t="s">
        <v>48</v>
      </c>
      <c r="D22" s="37">
        <v>1.0</v>
      </c>
      <c r="E22" s="37" t="s">
        <v>49</v>
      </c>
      <c r="F22" s="43" t="s">
        <v>61</v>
      </c>
      <c r="G22" s="51" t="s">
        <v>51</v>
      </c>
      <c r="H22" s="28">
        <v>4.0</v>
      </c>
      <c r="I22" s="2"/>
      <c r="J22" s="2"/>
      <c r="K22" s="2"/>
      <c r="L22" s="2"/>
      <c r="M22" s="2"/>
      <c r="N22" s="2"/>
      <c r="O22" s="2"/>
      <c r="P22" s="2"/>
      <c r="Q22" s="2"/>
      <c r="R22" s="2"/>
      <c r="S22" s="2"/>
      <c r="T22" s="2"/>
      <c r="U22" s="2"/>
      <c r="V22" s="2"/>
      <c r="W22" s="2"/>
      <c r="X22" s="2"/>
      <c r="Y22" s="2"/>
      <c r="Z22" s="2"/>
    </row>
    <row r="23">
      <c r="A23" s="2"/>
      <c r="B23" s="26">
        <v>15.0</v>
      </c>
      <c r="C23" s="28" t="s">
        <v>48</v>
      </c>
      <c r="D23" s="37">
        <v>1.0</v>
      </c>
      <c r="E23" s="37" t="s">
        <v>49</v>
      </c>
      <c r="F23" s="37" t="s">
        <v>62</v>
      </c>
      <c r="G23" s="51" t="s">
        <v>51</v>
      </c>
      <c r="H23" s="28">
        <v>4.0</v>
      </c>
      <c r="I23" s="2"/>
      <c r="J23" s="2"/>
      <c r="K23" s="2"/>
      <c r="L23" s="2"/>
      <c r="M23" s="2"/>
      <c r="N23" s="2"/>
      <c r="O23" s="2"/>
      <c r="P23" s="2"/>
      <c r="Q23" s="2"/>
      <c r="R23" s="2"/>
      <c r="S23" s="2"/>
      <c r="T23" s="2"/>
      <c r="U23" s="2"/>
      <c r="V23" s="2"/>
      <c r="W23" s="2"/>
      <c r="X23" s="2"/>
      <c r="Y23" s="2"/>
      <c r="Z23" s="2"/>
    </row>
    <row r="24">
      <c r="A24" s="2"/>
      <c r="B24" s="26">
        <v>16.0</v>
      </c>
      <c r="C24" s="28" t="s">
        <v>48</v>
      </c>
      <c r="D24" s="37">
        <v>1.0</v>
      </c>
      <c r="E24" s="37" t="s">
        <v>49</v>
      </c>
      <c r="F24" s="37" t="s">
        <v>66</v>
      </c>
      <c r="G24" s="51" t="s">
        <v>51</v>
      </c>
      <c r="H24" s="28">
        <v>4.0</v>
      </c>
      <c r="I24" s="2"/>
      <c r="J24" s="2"/>
      <c r="K24" s="2"/>
      <c r="L24" s="2"/>
      <c r="M24" s="2"/>
      <c r="N24" s="2"/>
      <c r="O24" s="2"/>
      <c r="P24" s="2"/>
      <c r="Q24" s="2"/>
      <c r="R24" s="2"/>
      <c r="S24" s="2"/>
      <c r="T24" s="2"/>
      <c r="U24" s="2"/>
      <c r="V24" s="2"/>
      <c r="W24" s="2"/>
      <c r="X24" s="2"/>
      <c r="Y24" s="2"/>
      <c r="Z24" s="2"/>
    </row>
    <row r="25">
      <c r="A25" s="2"/>
      <c r="B25" s="26">
        <v>17.0</v>
      </c>
      <c r="C25" s="28" t="s">
        <v>67</v>
      </c>
      <c r="D25" s="37">
        <v>2.0</v>
      </c>
      <c r="E25" s="37" t="s">
        <v>68</v>
      </c>
      <c r="F25" s="37" t="s">
        <v>69</v>
      </c>
      <c r="G25" s="37" t="s">
        <v>51</v>
      </c>
      <c r="H25" s="28">
        <v>5.0</v>
      </c>
      <c r="I25" s="2"/>
      <c r="J25" s="2"/>
      <c r="K25" s="2"/>
      <c r="L25" s="2"/>
      <c r="M25" s="2"/>
      <c r="N25" s="2"/>
      <c r="O25" s="2"/>
      <c r="P25" s="2"/>
      <c r="Q25" s="2"/>
      <c r="R25" s="2"/>
      <c r="S25" s="2"/>
      <c r="T25" s="2"/>
      <c r="U25" s="2"/>
      <c r="V25" s="2"/>
      <c r="W25" s="2"/>
      <c r="X25" s="2"/>
      <c r="Y25" s="2"/>
      <c r="Z25" s="2"/>
    </row>
    <row r="26">
      <c r="A26" s="2"/>
      <c r="B26" s="26">
        <v>18.0</v>
      </c>
      <c r="C26" s="28" t="s">
        <v>67</v>
      </c>
      <c r="D26" s="37">
        <v>2.0</v>
      </c>
      <c r="E26" s="37" t="s">
        <v>68</v>
      </c>
      <c r="F26" s="37" t="s">
        <v>73</v>
      </c>
      <c r="G26" s="37" t="s">
        <v>51</v>
      </c>
      <c r="H26" s="28">
        <v>5.0</v>
      </c>
      <c r="I26" s="2"/>
      <c r="J26" s="2"/>
      <c r="K26" s="2"/>
      <c r="L26" s="2"/>
      <c r="M26" s="2"/>
      <c r="N26" s="2"/>
      <c r="O26" s="2"/>
      <c r="P26" s="2"/>
      <c r="Q26" s="2"/>
      <c r="R26" s="2"/>
      <c r="S26" s="2"/>
      <c r="T26" s="2"/>
      <c r="U26" s="2"/>
      <c r="V26" s="2"/>
      <c r="W26" s="2"/>
      <c r="X26" s="2"/>
      <c r="Y26" s="2"/>
      <c r="Z26" s="2"/>
    </row>
    <row r="27">
      <c r="A27" s="2"/>
      <c r="B27" s="26">
        <v>19.0</v>
      </c>
      <c r="C27" s="28" t="s">
        <v>67</v>
      </c>
      <c r="D27" s="37">
        <v>2.0</v>
      </c>
      <c r="E27" s="37" t="s">
        <v>68</v>
      </c>
      <c r="F27" s="37" t="s">
        <v>75</v>
      </c>
      <c r="G27" s="37" t="s">
        <v>51</v>
      </c>
      <c r="H27" s="28">
        <v>5.0</v>
      </c>
      <c r="I27" s="2"/>
      <c r="J27" s="2"/>
      <c r="K27" s="2"/>
      <c r="L27" s="2"/>
      <c r="M27" s="2"/>
      <c r="N27" s="2"/>
      <c r="O27" s="2"/>
      <c r="P27" s="2"/>
      <c r="Q27" s="2"/>
      <c r="R27" s="2"/>
      <c r="S27" s="2"/>
      <c r="T27" s="2"/>
      <c r="U27" s="2"/>
      <c r="V27" s="2"/>
      <c r="W27" s="2"/>
      <c r="X27" s="2"/>
      <c r="Y27" s="2"/>
      <c r="Z27" s="2"/>
    </row>
    <row r="28">
      <c r="A28" s="2"/>
      <c r="B28" s="26">
        <v>20.0</v>
      </c>
      <c r="C28" s="28" t="s">
        <v>67</v>
      </c>
      <c r="D28" s="37">
        <v>2.0</v>
      </c>
      <c r="E28" s="37" t="s">
        <v>68</v>
      </c>
      <c r="F28" s="37" t="s">
        <v>76</v>
      </c>
      <c r="G28" s="37" t="s">
        <v>51</v>
      </c>
      <c r="H28" s="28">
        <v>5.0</v>
      </c>
      <c r="I28" s="2"/>
      <c r="J28" s="2"/>
      <c r="K28" s="2"/>
      <c r="L28" s="2"/>
      <c r="M28" s="2"/>
      <c r="N28" s="2"/>
      <c r="O28" s="2"/>
      <c r="P28" s="2"/>
      <c r="Q28" s="2"/>
      <c r="R28" s="2"/>
      <c r="S28" s="2"/>
      <c r="T28" s="2"/>
      <c r="U28" s="2"/>
      <c r="V28" s="2"/>
      <c r="W28" s="2"/>
      <c r="X28" s="2"/>
      <c r="Y28" s="2"/>
      <c r="Z28" s="2"/>
    </row>
    <row r="29">
      <c r="A29" s="2"/>
      <c r="B29" s="26">
        <v>21.0</v>
      </c>
      <c r="C29" s="28" t="s">
        <v>67</v>
      </c>
      <c r="D29" s="37">
        <v>2.0</v>
      </c>
      <c r="E29" s="37" t="s">
        <v>68</v>
      </c>
      <c r="F29" s="62" t="s">
        <v>78</v>
      </c>
      <c r="G29" s="37" t="s">
        <v>51</v>
      </c>
      <c r="H29" s="28">
        <v>5.0</v>
      </c>
      <c r="I29" s="2"/>
      <c r="J29" s="2"/>
      <c r="K29" s="2"/>
      <c r="L29" s="2"/>
      <c r="M29" s="2"/>
      <c r="N29" s="2"/>
      <c r="O29" s="2"/>
      <c r="P29" s="2"/>
      <c r="Q29" s="2"/>
      <c r="R29" s="2"/>
      <c r="S29" s="2"/>
      <c r="T29" s="2"/>
      <c r="U29" s="2"/>
      <c r="V29" s="2"/>
      <c r="W29" s="2"/>
      <c r="X29" s="2"/>
      <c r="Y29" s="2"/>
      <c r="Z29" s="2"/>
    </row>
    <row r="30">
      <c r="A30" s="2"/>
      <c r="B30" s="26">
        <v>22.0</v>
      </c>
      <c r="C30" s="28" t="s">
        <v>67</v>
      </c>
      <c r="D30" s="37">
        <v>2.0</v>
      </c>
      <c r="E30" s="37" t="s">
        <v>83</v>
      </c>
      <c r="F30" s="37" t="s">
        <v>85</v>
      </c>
      <c r="G30" s="37" t="s">
        <v>51</v>
      </c>
      <c r="H30" s="28">
        <v>6.0</v>
      </c>
      <c r="I30" s="2"/>
      <c r="J30" s="2"/>
      <c r="K30" s="2"/>
      <c r="L30" s="2"/>
      <c r="M30" s="2"/>
      <c r="N30" s="2"/>
      <c r="O30" s="2"/>
      <c r="P30" s="2"/>
      <c r="Q30" s="2"/>
      <c r="R30" s="2"/>
      <c r="S30" s="2"/>
      <c r="T30" s="2"/>
      <c r="U30" s="2"/>
      <c r="V30" s="2"/>
      <c r="W30" s="2"/>
      <c r="X30" s="2"/>
      <c r="Y30" s="2"/>
      <c r="Z30" s="2"/>
    </row>
    <row r="31">
      <c r="A31" s="2"/>
      <c r="B31" s="26">
        <v>23.0</v>
      </c>
      <c r="C31" s="28" t="s">
        <v>67</v>
      </c>
      <c r="D31" s="37">
        <v>2.0</v>
      </c>
      <c r="E31" s="37" t="s">
        <v>83</v>
      </c>
      <c r="F31" s="37" t="s">
        <v>86</v>
      </c>
      <c r="G31" s="37" t="s">
        <v>51</v>
      </c>
      <c r="H31" s="28">
        <v>6.0</v>
      </c>
      <c r="I31" s="2"/>
      <c r="J31" s="2"/>
      <c r="K31" s="2"/>
      <c r="L31" s="2"/>
      <c r="M31" s="2"/>
      <c r="N31" s="2"/>
      <c r="O31" s="2"/>
      <c r="P31" s="2"/>
      <c r="Q31" s="2"/>
      <c r="R31" s="2"/>
      <c r="S31" s="2"/>
      <c r="T31" s="2"/>
      <c r="U31" s="2"/>
      <c r="V31" s="2"/>
      <c r="W31" s="2"/>
      <c r="X31" s="2"/>
      <c r="Y31" s="2"/>
      <c r="Z31" s="2"/>
    </row>
    <row r="32">
      <c r="A32" s="2"/>
      <c r="B32" s="26">
        <v>24.0</v>
      </c>
      <c r="C32" s="28" t="s">
        <v>67</v>
      </c>
      <c r="D32" s="37">
        <v>2.0</v>
      </c>
      <c r="E32" s="37" t="s">
        <v>83</v>
      </c>
      <c r="F32" s="37" t="s">
        <v>87</v>
      </c>
      <c r="G32" s="37" t="s">
        <v>51</v>
      </c>
      <c r="H32" s="28">
        <v>6.0</v>
      </c>
      <c r="I32" s="2"/>
      <c r="J32" s="2"/>
      <c r="K32" s="2"/>
      <c r="L32" s="2"/>
      <c r="M32" s="2"/>
      <c r="N32" s="2"/>
      <c r="O32" s="2"/>
      <c r="P32" s="2"/>
      <c r="Q32" s="2"/>
      <c r="R32" s="2"/>
      <c r="S32" s="2"/>
      <c r="T32" s="2"/>
      <c r="U32" s="2"/>
      <c r="V32" s="2"/>
      <c r="W32" s="2"/>
      <c r="X32" s="2"/>
      <c r="Y32" s="2"/>
      <c r="Z32" s="2"/>
    </row>
    <row r="33">
      <c r="A33" s="2"/>
      <c r="B33" s="26">
        <v>25.0</v>
      </c>
      <c r="C33" s="28" t="s">
        <v>67</v>
      </c>
      <c r="D33" s="37">
        <v>2.0</v>
      </c>
      <c r="E33" s="37" t="s">
        <v>83</v>
      </c>
      <c r="F33" s="37" t="s">
        <v>89</v>
      </c>
      <c r="G33" s="37" t="s">
        <v>51</v>
      </c>
      <c r="H33" s="28">
        <v>6.0</v>
      </c>
      <c r="I33" s="2"/>
      <c r="J33" s="2"/>
      <c r="K33" s="2"/>
      <c r="L33" s="2"/>
      <c r="M33" s="2"/>
      <c r="N33" s="2"/>
      <c r="O33" s="2"/>
      <c r="P33" s="2"/>
      <c r="Q33" s="2"/>
      <c r="R33" s="2"/>
      <c r="S33" s="2"/>
      <c r="T33" s="2"/>
      <c r="U33" s="2"/>
      <c r="V33" s="2"/>
      <c r="W33" s="2"/>
      <c r="X33" s="2"/>
      <c r="Y33" s="2"/>
      <c r="Z33" s="2"/>
    </row>
    <row r="34">
      <c r="A34" s="2"/>
      <c r="B34" s="26">
        <v>26.0</v>
      </c>
      <c r="C34" s="28" t="s">
        <v>67</v>
      </c>
      <c r="D34" s="37">
        <v>2.0</v>
      </c>
      <c r="E34" s="37" t="s">
        <v>83</v>
      </c>
      <c r="F34" s="37" t="s">
        <v>92</v>
      </c>
      <c r="G34" s="37" t="s">
        <v>51</v>
      </c>
      <c r="H34" s="28">
        <v>6.0</v>
      </c>
      <c r="I34" s="2"/>
      <c r="J34" s="2"/>
      <c r="K34" s="2"/>
      <c r="L34" s="2"/>
      <c r="M34" s="2"/>
      <c r="N34" s="2"/>
      <c r="O34" s="2"/>
      <c r="P34" s="2"/>
      <c r="Q34" s="2"/>
      <c r="R34" s="2"/>
      <c r="S34" s="2"/>
      <c r="T34" s="2"/>
      <c r="U34" s="2"/>
      <c r="V34" s="2"/>
      <c r="W34" s="2"/>
      <c r="X34" s="2"/>
      <c r="Y34" s="2"/>
      <c r="Z34" s="2"/>
    </row>
    <row r="35">
      <c r="A35" s="2"/>
      <c r="B35" s="26">
        <v>27.0</v>
      </c>
      <c r="C35" s="28" t="s">
        <v>93</v>
      </c>
      <c r="D35" s="37">
        <v>3.0</v>
      </c>
      <c r="E35" s="37" t="s">
        <v>94</v>
      </c>
      <c r="F35" s="37" t="s">
        <v>95</v>
      </c>
      <c r="G35" s="37" t="s">
        <v>96</v>
      </c>
      <c r="H35" s="28">
        <v>7.0</v>
      </c>
      <c r="I35" s="2"/>
      <c r="J35" s="2"/>
      <c r="K35" s="2"/>
      <c r="L35" s="2"/>
      <c r="M35" s="2"/>
      <c r="N35" s="2"/>
      <c r="O35" s="2"/>
      <c r="P35" s="2"/>
      <c r="Q35" s="2"/>
      <c r="R35" s="2"/>
      <c r="S35" s="2"/>
      <c r="T35" s="2"/>
      <c r="U35" s="2"/>
      <c r="V35" s="2"/>
      <c r="W35" s="2"/>
      <c r="X35" s="2"/>
      <c r="Y35" s="2"/>
      <c r="Z35" s="2"/>
    </row>
    <row r="36">
      <c r="A36" s="2"/>
      <c r="B36" s="26">
        <v>28.0</v>
      </c>
      <c r="C36" s="28" t="s">
        <v>93</v>
      </c>
      <c r="D36" s="37">
        <v>3.0</v>
      </c>
      <c r="E36" s="37" t="s">
        <v>94</v>
      </c>
      <c r="F36" s="37" t="s">
        <v>98</v>
      </c>
      <c r="G36" s="37" t="s">
        <v>96</v>
      </c>
      <c r="H36" s="28">
        <v>7.0</v>
      </c>
      <c r="I36" s="2"/>
      <c r="J36" s="2"/>
      <c r="K36" s="2"/>
      <c r="L36" s="2"/>
      <c r="M36" s="2"/>
      <c r="N36" s="2"/>
      <c r="O36" s="2"/>
      <c r="P36" s="2"/>
      <c r="Q36" s="2"/>
      <c r="R36" s="2"/>
      <c r="S36" s="2"/>
      <c r="T36" s="2"/>
      <c r="U36" s="2"/>
      <c r="V36" s="2"/>
      <c r="W36" s="2"/>
      <c r="X36" s="2"/>
      <c r="Y36" s="2"/>
      <c r="Z36" s="2"/>
    </row>
    <row r="37">
      <c r="A37" s="2"/>
      <c r="B37" s="26">
        <v>29.0</v>
      </c>
      <c r="C37" s="28" t="s">
        <v>93</v>
      </c>
      <c r="D37" s="37">
        <v>3.0</v>
      </c>
      <c r="E37" s="37" t="s">
        <v>94</v>
      </c>
      <c r="F37" s="37" t="s">
        <v>100</v>
      </c>
      <c r="G37" s="37" t="s">
        <v>96</v>
      </c>
      <c r="H37" s="28">
        <v>7.0</v>
      </c>
      <c r="I37" s="2"/>
      <c r="J37" s="2"/>
      <c r="K37" s="2"/>
      <c r="L37" s="2"/>
      <c r="M37" s="2"/>
      <c r="N37" s="2"/>
      <c r="O37" s="2"/>
      <c r="P37" s="2"/>
      <c r="Q37" s="2"/>
      <c r="R37" s="2"/>
      <c r="S37" s="2"/>
      <c r="T37" s="2"/>
      <c r="U37" s="2"/>
      <c r="V37" s="2"/>
      <c r="W37" s="2"/>
      <c r="X37" s="2"/>
      <c r="Y37" s="2"/>
      <c r="Z37" s="2"/>
    </row>
    <row r="38">
      <c r="A38" s="2"/>
      <c r="B38" s="26">
        <v>30.0</v>
      </c>
      <c r="C38" s="28" t="s">
        <v>93</v>
      </c>
      <c r="D38" s="37">
        <v>3.0</v>
      </c>
      <c r="E38" s="37" t="s">
        <v>94</v>
      </c>
      <c r="F38" s="37" t="s">
        <v>101</v>
      </c>
      <c r="G38" s="37" t="s">
        <v>96</v>
      </c>
      <c r="H38" s="28">
        <v>7.0</v>
      </c>
      <c r="I38" s="2"/>
      <c r="J38" s="2"/>
      <c r="K38" s="2"/>
      <c r="L38" s="2"/>
      <c r="M38" s="2"/>
      <c r="N38" s="2"/>
      <c r="O38" s="2"/>
      <c r="P38" s="2"/>
      <c r="Q38" s="2"/>
      <c r="R38" s="2"/>
      <c r="S38" s="2"/>
      <c r="T38" s="2"/>
      <c r="U38" s="2"/>
      <c r="V38" s="2"/>
      <c r="W38" s="2"/>
      <c r="X38" s="2"/>
      <c r="Y38" s="2"/>
      <c r="Z38" s="2"/>
    </row>
    <row r="39">
      <c r="A39" s="2"/>
      <c r="B39" s="26">
        <v>31.0</v>
      </c>
      <c r="C39" s="28" t="s">
        <v>93</v>
      </c>
      <c r="D39" s="37">
        <v>3.0</v>
      </c>
      <c r="E39" s="37" t="s">
        <v>94</v>
      </c>
      <c r="F39" s="37" t="s">
        <v>103</v>
      </c>
      <c r="G39" s="37" t="s">
        <v>96</v>
      </c>
      <c r="H39" s="28">
        <v>7.0</v>
      </c>
      <c r="I39" s="2"/>
      <c r="J39" s="2"/>
      <c r="K39" s="2"/>
      <c r="L39" s="2"/>
      <c r="M39" s="2"/>
      <c r="N39" s="2"/>
      <c r="O39" s="2"/>
      <c r="P39" s="2"/>
      <c r="Q39" s="2"/>
      <c r="R39" s="2"/>
      <c r="S39" s="2"/>
      <c r="T39" s="2"/>
      <c r="U39" s="2"/>
      <c r="V39" s="2"/>
      <c r="W39" s="2"/>
      <c r="X39" s="2"/>
      <c r="Y39" s="2"/>
      <c r="Z39" s="2"/>
    </row>
    <row r="40">
      <c r="A40" s="2"/>
      <c r="B40" s="26">
        <v>32.0</v>
      </c>
      <c r="C40" s="28" t="s">
        <v>93</v>
      </c>
      <c r="D40" s="37">
        <v>3.0</v>
      </c>
      <c r="E40" s="37" t="s">
        <v>94</v>
      </c>
      <c r="F40" s="37" t="s">
        <v>107</v>
      </c>
      <c r="G40" s="37" t="s">
        <v>96</v>
      </c>
      <c r="H40" s="28">
        <v>7.0</v>
      </c>
      <c r="I40" s="2"/>
      <c r="J40" s="2"/>
      <c r="K40" s="2"/>
      <c r="L40" s="2"/>
      <c r="M40" s="2"/>
      <c r="N40" s="2"/>
      <c r="O40" s="2"/>
      <c r="P40" s="2"/>
      <c r="Q40" s="2"/>
      <c r="R40" s="2"/>
      <c r="S40" s="2"/>
      <c r="T40" s="2"/>
      <c r="U40" s="2"/>
      <c r="V40" s="2"/>
      <c r="W40" s="2"/>
      <c r="X40" s="2"/>
      <c r="Y40" s="2"/>
      <c r="Z40" s="2"/>
    </row>
    <row r="41">
      <c r="A41" s="2"/>
      <c r="B41" s="26">
        <v>33.0</v>
      </c>
      <c r="C41" s="28" t="s">
        <v>93</v>
      </c>
      <c r="D41" s="37">
        <v>3.0</v>
      </c>
      <c r="E41" s="37" t="s">
        <v>110</v>
      </c>
      <c r="F41" s="37" t="s">
        <v>111</v>
      </c>
      <c r="G41" s="37" t="s">
        <v>96</v>
      </c>
      <c r="H41" s="28">
        <v>8.0</v>
      </c>
      <c r="I41" s="2"/>
      <c r="J41" s="2"/>
      <c r="K41" s="2"/>
      <c r="L41" s="2"/>
      <c r="M41" s="2"/>
      <c r="N41" s="2"/>
      <c r="O41" s="2"/>
      <c r="P41" s="2"/>
      <c r="Q41" s="2"/>
      <c r="R41" s="2"/>
      <c r="S41" s="2"/>
      <c r="T41" s="2"/>
      <c r="U41" s="2"/>
      <c r="V41" s="2"/>
      <c r="W41" s="2"/>
      <c r="X41" s="2"/>
      <c r="Y41" s="2"/>
      <c r="Z41" s="2"/>
    </row>
    <row r="42">
      <c r="A42" s="2"/>
      <c r="B42" s="26">
        <v>34.0</v>
      </c>
      <c r="C42" s="28" t="s">
        <v>93</v>
      </c>
      <c r="D42" s="37">
        <v>3.0</v>
      </c>
      <c r="E42" s="37" t="s">
        <v>110</v>
      </c>
      <c r="F42" s="37" t="s">
        <v>112</v>
      </c>
      <c r="G42" s="37" t="s">
        <v>96</v>
      </c>
      <c r="H42" s="28">
        <v>8.0</v>
      </c>
      <c r="I42" s="2"/>
      <c r="J42" s="2"/>
      <c r="K42" s="2"/>
      <c r="L42" s="2"/>
      <c r="M42" s="2"/>
      <c r="N42" s="2"/>
      <c r="O42" s="2"/>
      <c r="P42" s="2"/>
      <c r="Q42" s="2"/>
      <c r="R42" s="2"/>
      <c r="S42" s="2"/>
      <c r="T42" s="2"/>
      <c r="U42" s="2"/>
      <c r="V42" s="2"/>
      <c r="W42" s="2"/>
      <c r="X42" s="2"/>
      <c r="Y42" s="2"/>
      <c r="Z42" s="2"/>
    </row>
    <row r="43">
      <c r="A43" s="2"/>
      <c r="B43" s="26">
        <v>35.0</v>
      </c>
      <c r="C43" s="28" t="s">
        <v>93</v>
      </c>
      <c r="D43" s="37">
        <v>3.0</v>
      </c>
      <c r="E43" s="37" t="s">
        <v>110</v>
      </c>
      <c r="F43" s="37" t="s">
        <v>114</v>
      </c>
      <c r="G43" s="37" t="s">
        <v>96</v>
      </c>
      <c r="H43" s="28">
        <v>8.0</v>
      </c>
      <c r="I43" s="2"/>
      <c r="J43" s="2"/>
      <c r="K43" s="2"/>
      <c r="L43" s="2"/>
      <c r="M43" s="2"/>
      <c r="N43" s="2"/>
      <c r="O43" s="2"/>
      <c r="P43" s="2"/>
      <c r="Q43" s="2"/>
      <c r="R43" s="2"/>
      <c r="S43" s="2"/>
      <c r="T43" s="2"/>
      <c r="U43" s="2"/>
      <c r="V43" s="2"/>
      <c r="W43" s="2"/>
      <c r="X43" s="2"/>
      <c r="Y43" s="2"/>
      <c r="Z43" s="2"/>
    </row>
    <row r="44">
      <c r="A44" s="2"/>
      <c r="B44" s="26">
        <v>36.0</v>
      </c>
      <c r="C44" s="28" t="s">
        <v>93</v>
      </c>
      <c r="D44" s="37">
        <v>3.0</v>
      </c>
      <c r="E44" s="37" t="s">
        <v>110</v>
      </c>
      <c r="F44" s="37" t="s">
        <v>118</v>
      </c>
      <c r="G44" s="37" t="s">
        <v>96</v>
      </c>
      <c r="H44" s="28">
        <v>8.0</v>
      </c>
      <c r="I44" s="2"/>
      <c r="J44" s="2"/>
      <c r="K44" s="2"/>
      <c r="L44" s="2"/>
      <c r="M44" s="2"/>
      <c r="N44" s="2"/>
      <c r="O44" s="2"/>
      <c r="P44" s="2"/>
      <c r="Q44" s="2"/>
      <c r="R44" s="2"/>
      <c r="S44" s="2"/>
      <c r="T44" s="2"/>
      <c r="U44" s="2"/>
      <c r="V44" s="2"/>
      <c r="W44" s="2"/>
      <c r="X44" s="2"/>
      <c r="Y44" s="2"/>
      <c r="Z44" s="2"/>
    </row>
    <row r="45">
      <c r="A45" s="2"/>
      <c r="B45" s="26">
        <v>37.0</v>
      </c>
      <c r="C45" s="28" t="s">
        <v>119</v>
      </c>
      <c r="D45" s="37">
        <v>3.0</v>
      </c>
      <c r="E45" s="37" t="s">
        <v>110</v>
      </c>
      <c r="F45" s="37" t="s">
        <v>120</v>
      </c>
      <c r="G45" s="37" t="s">
        <v>121</v>
      </c>
      <c r="H45" s="28">
        <v>9.0</v>
      </c>
      <c r="I45" s="2"/>
      <c r="J45" s="2"/>
      <c r="K45" s="2"/>
      <c r="L45" s="2"/>
      <c r="M45" s="2"/>
      <c r="N45" s="2"/>
      <c r="O45" s="2"/>
      <c r="P45" s="2"/>
      <c r="Q45" s="2"/>
      <c r="R45" s="2"/>
      <c r="S45" s="2"/>
      <c r="T45" s="2"/>
      <c r="U45" s="2"/>
      <c r="V45" s="2"/>
      <c r="W45" s="2"/>
      <c r="X45" s="2"/>
      <c r="Y45" s="2"/>
      <c r="Z45" s="2"/>
    </row>
    <row r="46">
      <c r="A46" s="2"/>
      <c r="B46" s="26">
        <v>38.0</v>
      </c>
      <c r="C46" s="28" t="s">
        <v>119</v>
      </c>
      <c r="D46" s="37">
        <v>3.0</v>
      </c>
      <c r="E46" s="37" t="s">
        <v>110</v>
      </c>
      <c r="F46" s="37" t="s">
        <v>123</v>
      </c>
      <c r="G46" s="37" t="s">
        <v>121</v>
      </c>
      <c r="H46" s="28">
        <v>9.0</v>
      </c>
      <c r="I46" s="2"/>
      <c r="J46" s="2"/>
      <c r="K46" s="2"/>
      <c r="L46" s="2"/>
      <c r="M46" s="2"/>
      <c r="N46" s="2"/>
      <c r="O46" s="2"/>
      <c r="P46" s="2"/>
      <c r="Q46" s="2"/>
      <c r="R46" s="2"/>
      <c r="S46" s="2"/>
      <c r="T46" s="2"/>
      <c r="U46" s="2"/>
      <c r="V46" s="2"/>
      <c r="W46" s="2"/>
      <c r="X46" s="2"/>
      <c r="Y46" s="2"/>
      <c r="Z46" s="2"/>
    </row>
    <row r="47">
      <c r="A47" s="2"/>
      <c r="B47" s="26">
        <v>39.0</v>
      </c>
      <c r="C47" s="28" t="s">
        <v>119</v>
      </c>
      <c r="D47" s="37">
        <v>3.0</v>
      </c>
      <c r="E47" s="37" t="s">
        <v>110</v>
      </c>
      <c r="F47" s="37" t="s">
        <v>125</v>
      </c>
      <c r="G47" s="37" t="s">
        <v>121</v>
      </c>
      <c r="H47" s="28">
        <v>9.0</v>
      </c>
      <c r="I47" s="2"/>
      <c r="J47" s="2"/>
      <c r="K47" s="2"/>
      <c r="L47" s="2"/>
      <c r="M47" s="2"/>
      <c r="N47" s="2"/>
      <c r="O47" s="2"/>
      <c r="P47" s="2"/>
      <c r="Q47" s="2"/>
      <c r="R47" s="2"/>
      <c r="S47" s="2"/>
      <c r="T47" s="2"/>
      <c r="U47" s="2"/>
      <c r="V47" s="2"/>
      <c r="W47" s="2"/>
      <c r="X47" s="2"/>
      <c r="Y47" s="2"/>
      <c r="Z47" s="2"/>
    </row>
    <row r="48">
      <c r="A48" s="2"/>
      <c r="B48" s="26">
        <v>40.0</v>
      </c>
      <c r="C48" s="28" t="s">
        <v>119</v>
      </c>
      <c r="D48" s="37">
        <v>3.0</v>
      </c>
      <c r="E48" s="37" t="s">
        <v>110</v>
      </c>
      <c r="F48" s="37" t="s">
        <v>127</v>
      </c>
      <c r="G48" s="37" t="s">
        <v>121</v>
      </c>
      <c r="H48" s="28">
        <v>9.0</v>
      </c>
      <c r="I48" s="2"/>
      <c r="J48" s="2"/>
      <c r="K48" s="2"/>
      <c r="L48" s="2"/>
      <c r="M48" s="2"/>
      <c r="N48" s="2"/>
      <c r="O48" s="2"/>
      <c r="P48" s="2"/>
      <c r="Q48" s="2"/>
      <c r="R48" s="2"/>
      <c r="S48" s="2"/>
      <c r="T48" s="2"/>
      <c r="U48" s="2"/>
      <c r="V48" s="2"/>
      <c r="W48" s="2"/>
      <c r="X48" s="2"/>
      <c r="Y48" s="2"/>
      <c r="Z48" s="2"/>
    </row>
    <row r="49">
      <c r="A49" s="2"/>
      <c r="B49" s="26">
        <v>41.0</v>
      </c>
      <c r="C49" s="28" t="s">
        <v>119</v>
      </c>
      <c r="D49" s="37">
        <v>3.0</v>
      </c>
      <c r="E49" s="37" t="s">
        <v>110</v>
      </c>
      <c r="F49" s="37" t="s">
        <v>130</v>
      </c>
      <c r="G49" s="37" t="s">
        <v>121</v>
      </c>
      <c r="H49" s="28">
        <v>10.0</v>
      </c>
      <c r="I49" s="2"/>
      <c r="J49" s="2"/>
      <c r="K49" s="2"/>
      <c r="L49" s="2"/>
      <c r="M49" s="2"/>
      <c r="N49" s="2"/>
      <c r="O49" s="2"/>
      <c r="P49" s="2"/>
      <c r="Q49" s="2"/>
      <c r="R49" s="2"/>
      <c r="S49" s="2"/>
      <c r="T49" s="2"/>
      <c r="U49" s="2"/>
      <c r="V49" s="2"/>
      <c r="W49" s="2"/>
      <c r="X49" s="2"/>
      <c r="Y49" s="2"/>
      <c r="Z49" s="2"/>
    </row>
    <row r="50">
      <c r="A50" s="2"/>
      <c r="B50" s="26">
        <v>42.0</v>
      </c>
      <c r="C50" s="28" t="s">
        <v>119</v>
      </c>
      <c r="D50" s="37">
        <v>3.0</v>
      </c>
      <c r="E50" s="37" t="s">
        <v>94</v>
      </c>
      <c r="F50" s="37" t="s">
        <v>131</v>
      </c>
      <c r="G50" s="37" t="s">
        <v>121</v>
      </c>
      <c r="H50" s="28">
        <v>10.0</v>
      </c>
      <c r="I50" s="2"/>
      <c r="J50" s="2"/>
      <c r="K50" s="2"/>
      <c r="L50" s="2"/>
      <c r="M50" s="2"/>
      <c r="N50" s="2"/>
      <c r="O50" s="2"/>
      <c r="P50" s="2"/>
      <c r="Q50" s="2"/>
      <c r="R50" s="2"/>
      <c r="S50" s="2"/>
      <c r="T50" s="2"/>
      <c r="U50" s="2"/>
      <c r="V50" s="2"/>
      <c r="W50" s="2"/>
      <c r="X50" s="2"/>
      <c r="Y50" s="2"/>
      <c r="Z50" s="2"/>
    </row>
    <row r="51">
      <c r="A51" s="2"/>
      <c r="B51" s="26">
        <v>43.0</v>
      </c>
      <c r="C51" s="28" t="s">
        <v>119</v>
      </c>
      <c r="D51" s="37">
        <v>3.0</v>
      </c>
      <c r="E51" s="37" t="s">
        <v>94</v>
      </c>
      <c r="F51" s="37" t="s">
        <v>132</v>
      </c>
      <c r="G51" s="37" t="s">
        <v>121</v>
      </c>
      <c r="H51" s="28">
        <v>10.0</v>
      </c>
      <c r="I51" s="2"/>
      <c r="J51" s="2"/>
      <c r="K51" s="2"/>
      <c r="L51" s="2"/>
      <c r="M51" s="2"/>
      <c r="N51" s="2"/>
      <c r="O51" s="2"/>
      <c r="P51" s="2"/>
      <c r="Q51" s="2"/>
      <c r="R51" s="2"/>
      <c r="S51" s="2"/>
      <c r="T51" s="2"/>
      <c r="U51" s="2"/>
      <c r="V51" s="2"/>
      <c r="W51" s="2"/>
      <c r="X51" s="2"/>
      <c r="Y51" s="2"/>
      <c r="Z51" s="2"/>
    </row>
    <row r="52">
      <c r="A52" s="2"/>
      <c r="B52" s="26">
        <v>44.0</v>
      </c>
      <c r="C52" s="28" t="s">
        <v>119</v>
      </c>
      <c r="D52" s="37">
        <v>3.0</v>
      </c>
      <c r="E52" s="37" t="s">
        <v>110</v>
      </c>
      <c r="F52" s="37" t="s">
        <v>133</v>
      </c>
      <c r="G52" s="37" t="s">
        <v>121</v>
      </c>
      <c r="H52" s="28">
        <v>11.0</v>
      </c>
      <c r="I52" s="2"/>
      <c r="J52" s="2"/>
      <c r="K52" s="2"/>
      <c r="L52" s="2"/>
      <c r="M52" s="2"/>
      <c r="N52" s="2"/>
      <c r="O52" s="2"/>
      <c r="P52" s="2"/>
      <c r="Q52" s="2"/>
      <c r="R52" s="2"/>
      <c r="S52" s="2"/>
      <c r="T52" s="2"/>
      <c r="U52" s="2"/>
      <c r="V52" s="2"/>
      <c r="W52" s="2"/>
      <c r="X52" s="2"/>
      <c r="Y52" s="2"/>
      <c r="Z52" s="2"/>
    </row>
    <row r="53">
      <c r="A53" s="2"/>
      <c r="B53" s="26">
        <v>45.0</v>
      </c>
      <c r="C53" s="28" t="s">
        <v>119</v>
      </c>
      <c r="D53" s="37">
        <v>3.0</v>
      </c>
      <c r="E53" s="37" t="s">
        <v>135</v>
      </c>
      <c r="F53" s="37" t="s">
        <v>136</v>
      </c>
      <c r="G53" s="37" t="s">
        <v>121</v>
      </c>
      <c r="H53" s="28">
        <v>11.0</v>
      </c>
      <c r="I53" s="2"/>
      <c r="J53" s="2"/>
      <c r="K53" s="2"/>
      <c r="L53" s="2"/>
      <c r="M53" s="2"/>
      <c r="N53" s="2"/>
      <c r="O53" s="2"/>
      <c r="P53" s="2"/>
      <c r="Q53" s="2"/>
      <c r="R53" s="2"/>
      <c r="S53" s="2"/>
      <c r="T53" s="2"/>
      <c r="U53" s="2"/>
      <c r="V53" s="2"/>
      <c r="W53" s="2"/>
      <c r="X53" s="2"/>
      <c r="Y53" s="2"/>
      <c r="Z53" s="2"/>
    </row>
    <row r="54">
      <c r="A54" s="2"/>
      <c r="B54" s="26">
        <v>46.0</v>
      </c>
      <c r="C54" s="28" t="s">
        <v>119</v>
      </c>
      <c r="D54" s="37">
        <v>3.0</v>
      </c>
      <c r="E54" s="37" t="s">
        <v>135</v>
      </c>
      <c r="F54" s="37" t="s">
        <v>140</v>
      </c>
      <c r="G54" s="37" t="s">
        <v>121</v>
      </c>
      <c r="H54" s="28">
        <v>11.0</v>
      </c>
      <c r="I54" s="2"/>
      <c r="J54" s="2"/>
      <c r="K54" s="2"/>
      <c r="L54" s="2"/>
      <c r="M54" s="2"/>
      <c r="N54" s="2"/>
      <c r="O54" s="2"/>
      <c r="P54" s="2"/>
      <c r="Q54" s="2"/>
      <c r="R54" s="2"/>
      <c r="S54" s="2"/>
      <c r="T54" s="2"/>
      <c r="U54" s="2"/>
      <c r="V54" s="2"/>
      <c r="W54" s="2"/>
      <c r="X54" s="2"/>
      <c r="Y54" s="2"/>
      <c r="Z54" s="2"/>
    </row>
    <row r="55">
      <c r="A55" s="2"/>
      <c r="B55" s="26">
        <v>47.0</v>
      </c>
      <c r="C55" s="28" t="s">
        <v>119</v>
      </c>
      <c r="D55" s="37">
        <v>3.0</v>
      </c>
      <c r="E55" s="37" t="s">
        <v>135</v>
      </c>
      <c r="F55" s="37" t="s">
        <v>145</v>
      </c>
      <c r="G55" s="37" t="s">
        <v>147</v>
      </c>
      <c r="H55" s="28">
        <v>12.0</v>
      </c>
      <c r="I55" s="2"/>
      <c r="J55" s="2"/>
      <c r="K55" s="2"/>
      <c r="L55" s="2"/>
      <c r="M55" s="2"/>
      <c r="N55" s="2"/>
      <c r="O55" s="2"/>
      <c r="P55" s="2"/>
      <c r="Q55" s="2"/>
      <c r="R55" s="2"/>
      <c r="S55" s="2"/>
      <c r="T55" s="2"/>
      <c r="U55" s="2"/>
      <c r="V55" s="2"/>
      <c r="W55" s="2"/>
      <c r="X55" s="2"/>
      <c r="Y55" s="2"/>
      <c r="Z55" s="2"/>
    </row>
    <row r="56">
      <c r="A56" s="2"/>
      <c r="B56" s="26">
        <v>48.0</v>
      </c>
      <c r="C56" s="28" t="s">
        <v>119</v>
      </c>
      <c r="D56" s="37">
        <v>3.0</v>
      </c>
      <c r="E56" s="37" t="s">
        <v>135</v>
      </c>
      <c r="F56" s="37" t="s">
        <v>150</v>
      </c>
      <c r="G56" s="37" t="s">
        <v>147</v>
      </c>
      <c r="H56" s="28">
        <v>12.0</v>
      </c>
      <c r="I56" s="2"/>
      <c r="J56" s="2"/>
      <c r="K56" s="2"/>
      <c r="L56" s="2"/>
      <c r="M56" s="2"/>
      <c r="N56" s="2"/>
      <c r="O56" s="2"/>
      <c r="P56" s="2"/>
      <c r="Q56" s="2"/>
      <c r="R56" s="2"/>
      <c r="S56" s="2"/>
      <c r="T56" s="2"/>
      <c r="U56" s="2"/>
      <c r="V56" s="2"/>
      <c r="W56" s="2"/>
      <c r="X56" s="2"/>
      <c r="Y56" s="2"/>
      <c r="Z56" s="2"/>
    </row>
    <row r="57">
      <c r="A57" s="2"/>
      <c r="B57" s="26">
        <v>49.0</v>
      </c>
      <c r="C57" s="28" t="s">
        <v>119</v>
      </c>
      <c r="D57" s="37">
        <v>3.0</v>
      </c>
      <c r="E57" s="37" t="s">
        <v>135</v>
      </c>
      <c r="F57" s="37" t="s">
        <v>153</v>
      </c>
      <c r="G57" s="37" t="s">
        <v>147</v>
      </c>
      <c r="H57" s="28">
        <v>12.0</v>
      </c>
      <c r="I57" s="2"/>
      <c r="J57" s="2"/>
      <c r="K57" s="2"/>
      <c r="L57" s="2"/>
      <c r="M57" s="2"/>
      <c r="N57" s="2"/>
      <c r="O57" s="2"/>
      <c r="P57" s="2"/>
      <c r="Q57" s="2"/>
      <c r="R57" s="2"/>
      <c r="S57" s="2"/>
      <c r="T57" s="2"/>
      <c r="U57" s="2"/>
      <c r="V57" s="2"/>
      <c r="W57" s="2"/>
      <c r="X57" s="2"/>
      <c r="Y57" s="2"/>
      <c r="Z57" s="2"/>
    </row>
    <row r="58">
      <c r="A58" s="2"/>
      <c r="B58" s="26">
        <v>50.0</v>
      </c>
      <c r="C58" s="26"/>
      <c r="D58" s="5"/>
      <c r="E58" s="5"/>
      <c r="F58" s="5"/>
      <c r="G58" s="5"/>
      <c r="H58" s="26"/>
      <c r="I58" s="2"/>
      <c r="J58" s="2"/>
      <c r="K58" s="2"/>
      <c r="L58" s="2"/>
      <c r="M58" s="2"/>
      <c r="N58" s="2"/>
      <c r="O58" s="2"/>
      <c r="P58" s="2"/>
      <c r="Q58" s="2"/>
      <c r="R58" s="2"/>
      <c r="S58" s="2"/>
      <c r="T58" s="2"/>
      <c r="U58" s="2"/>
      <c r="V58" s="2"/>
      <c r="W58" s="2"/>
      <c r="X58" s="2"/>
      <c r="Y58" s="2"/>
      <c r="Z58" s="2"/>
    </row>
    <row r="59">
      <c r="A59" s="2"/>
      <c r="B59" s="26">
        <v>51.0</v>
      </c>
      <c r="C59" s="26"/>
      <c r="D59" s="5"/>
      <c r="E59" s="5"/>
      <c r="F59" s="5"/>
      <c r="G59" s="5"/>
      <c r="H59" s="26"/>
      <c r="I59" s="2"/>
      <c r="J59" s="2"/>
      <c r="K59" s="2"/>
      <c r="L59" s="2"/>
      <c r="M59" s="2"/>
      <c r="N59" s="2"/>
      <c r="O59" s="2"/>
      <c r="P59" s="2"/>
      <c r="Q59" s="2"/>
      <c r="R59" s="2"/>
      <c r="S59" s="2"/>
      <c r="T59" s="2"/>
      <c r="U59" s="2"/>
      <c r="V59" s="2"/>
      <c r="W59" s="2"/>
      <c r="X59" s="2"/>
      <c r="Y59" s="2"/>
      <c r="Z59" s="2"/>
    </row>
    <row r="60">
      <c r="A60" s="2"/>
      <c r="B60" s="26">
        <v>52.0</v>
      </c>
      <c r="C60" s="26"/>
      <c r="D60" s="5"/>
      <c r="E60" s="5"/>
      <c r="F60" s="5"/>
      <c r="G60" s="5"/>
      <c r="H60" s="26"/>
      <c r="I60" s="2"/>
      <c r="J60" s="2"/>
      <c r="K60" s="2"/>
      <c r="L60" s="2"/>
      <c r="M60" s="2"/>
      <c r="N60" s="2"/>
      <c r="O60" s="2"/>
      <c r="P60" s="2"/>
      <c r="Q60" s="2"/>
      <c r="R60" s="2"/>
      <c r="S60" s="2"/>
      <c r="T60" s="2"/>
      <c r="U60" s="2"/>
      <c r="V60" s="2"/>
      <c r="W60" s="2"/>
      <c r="X60" s="2"/>
      <c r="Y60" s="2"/>
      <c r="Z60" s="2"/>
    </row>
    <row r="61">
      <c r="A61" s="2"/>
      <c r="B61" s="26">
        <v>53.0</v>
      </c>
      <c r="C61" s="26"/>
      <c r="D61" s="5"/>
      <c r="E61" s="5"/>
      <c r="F61" s="5"/>
      <c r="G61" s="5"/>
      <c r="H61" s="26"/>
      <c r="I61" s="2"/>
      <c r="J61" s="2"/>
      <c r="K61" s="2"/>
      <c r="L61" s="2"/>
      <c r="M61" s="2"/>
      <c r="N61" s="2"/>
      <c r="O61" s="2"/>
      <c r="P61" s="2"/>
      <c r="Q61" s="2"/>
      <c r="R61" s="2"/>
      <c r="S61" s="2"/>
      <c r="T61" s="2"/>
      <c r="U61" s="2"/>
      <c r="V61" s="2"/>
      <c r="W61" s="2"/>
      <c r="X61" s="2"/>
      <c r="Y61" s="2"/>
      <c r="Z61" s="2"/>
    </row>
    <row r="62">
      <c r="A62" s="2"/>
      <c r="B62" s="26">
        <v>54.0</v>
      </c>
      <c r="C62" s="26"/>
      <c r="D62" s="5"/>
      <c r="E62" s="5"/>
      <c r="F62" s="5"/>
      <c r="G62" s="5"/>
      <c r="H62" s="26"/>
      <c r="I62" s="2"/>
      <c r="J62" s="2"/>
      <c r="K62" s="2"/>
      <c r="L62" s="2"/>
      <c r="M62" s="2"/>
      <c r="N62" s="2"/>
      <c r="O62" s="2"/>
      <c r="P62" s="2"/>
      <c r="Q62" s="2"/>
      <c r="R62" s="2"/>
      <c r="S62" s="2"/>
      <c r="T62" s="2"/>
      <c r="U62" s="2"/>
      <c r="V62" s="2"/>
      <c r="W62" s="2"/>
      <c r="X62" s="2"/>
      <c r="Y62" s="2"/>
      <c r="Z62" s="2"/>
    </row>
    <row r="63">
      <c r="A63" s="2"/>
      <c r="B63" s="26">
        <v>55.0</v>
      </c>
      <c r="C63" s="26"/>
      <c r="D63" s="5"/>
      <c r="E63" s="5"/>
      <c r="F63" s="5"/>
      <c r="G63" s="5"/>
      <c r="H63" s="26"/>
      <c r="I63" s="2"/>
      <c r="J63" s="2"/>
      <c r="K63" s="2"/>
      <c r="L63" s="2"/>
      <c r="M63" s="2"/>
      <c r="N63" s="2"/>
      <c r="O63" s="2"/>
      <c r="P63" s="2"/>
      <c r="Q63" s="2"/>
      <c r="R63" s="2"/>
      <c r="S63" s="2"/>
      <c r="T63" s="2"/>
      <c r="U63" s="2"/>
      <c r="V63" s="2"/>
      <c r="W63" s="2"/>
      <c r="X63" s="2"/>
      <c r="Y63" s="2"/>
      <c r="Z63" s="2"/>
    </row>
    <row r="64">
      <c r="A64" s="2"/>
      <c r="B64" s="26">
        <v>56.0</v>
      </c>
      <c r="C64" s="26"/>
      <c r="D64" s="5"/>
      <c r="E64" s="5"/>
      <c r="F64" s="5"/>
      <c r="G64" s="5"/>
      <c r="H64" s="26"/>
      <c r="I64" s="2"/>
      <c r="J64" s="2"/>
      <c r="K64" s="2"/>
      <c r="L64" s="2"/>
      <c r="M64" s="2"/>
      <c r="N64" s="2"/>
      <c r="O64" s="2"/>
      <c r="P64" s="2"/>
      <c r="Q64" s="2"/>
      <c r="R64" s="2"/>
      <c r="S64" s="2"/>
      <c r="T64" s="2"/>
      <c r="U64" s="2"/>
      <c r="V64" s="2"/>
      <c r="W64" s="2"/>
      <c r="X64" s="2"/>
      <c r="Y64" s="2"/>
      <c r="Z64" s="2"/>
    </row>
    <row r="65">
      <c r="A65" s="2"/>
      <c r="B65" s="26">
        <v>57.0</v>
      </c>
      <c r="C65" s="26"/>
      <c r="D65" s="5"/>
      <c r="E65" s="5"/>
      <c r="F65" s="5"/>
      <c r="G65" s="5"/>
      <c r="H65" s="26"/>
      <c r="I65" s="2"/>
      <c r="J65" s="2"/>
      <c r="K65" s="2"/>
      <c r="L65" s="2"/>
      <c r="M65" s="2"/>
      <c r="N65" s="2"/>
      <c r="O65" s="2"/>
      <c r="P65" s="2"/>
      <c r="Q65" s="2"/>
      <c r="R65" s="2"/>
      <c r="S65" s="2"/>
      <c r="T65" s="2"/>
      <c r="U65" s="2"/>
      <c r="V65" s="2"/>
      <c r="W65" s="2"/>
      <c r="X65" s="2"/>
      <c r="Y65" s="2"/>
      <c r="Z65" s="2"/>
    </row>
    <row r="66">
      <c r="A66" s="2"/>
      <c r="B66" s="26">
        <v>58.0</v>
      </c>
      <c r="C66" s="26"/>
      <c r="D66" s="5"/>
      <c r="E66" s="5"/>
      <c r="F66" s="5"/>
      <c r="G66" s="5"/>
      <c r="H66" s="26"/>
      <c r="I66" s="2"/>
      <c r="J66" s="2"/>
      <c r="K66" s="2"/>
      <c r="L66" s="2"/>
      <c r="M66" s="2"/>
      <c r="N66" s="2"/>
      <c r="O66" s="2"/>
      <c r="P66" s="2"/>
      <c r="Q66" s="2"/>
      <c r="R66" s="2"/>
      <c r="S66" s="2"/>
      <c r="T66" s="2"/>
      <c r="U66" s="2"/>
      <c r="V66" s="2"/>
      <c r="W66" s="2"/>
      <c r="X66" s="2"/>
      <c r="Y66" s="2"/>
      <c r="Z66" s="2"/>
    </row>
    <row r="67">
      <c r="A67" s="2"/>
      <c r="B67" s="26">
        <v>59.0</v>
      </c>
      <c r="C67" s="26"/>
      <c r="D67" s="5"/>
      <c r="E67" s="5"/>
      <c r="F67" s="5"/>
      <c r="G67" s="5"/>
      <c r="H67" s="26"/>
      <c r="I67" s="2"/>
      <c r="J67" s="2"/>
      <c r="K67" s="2"/>
      <c r="L67" s="2"/>
      <c r="M67" s="2"/>
      <c r="N67" s="2"/>
      <c r="O67" s="2"/>
      <c r="P67" s="2"/>
      <c r="Q67" s="2"/>
      <c r="R67" s="2"/>
      <c r="S67" s="2"/>
      <c r="T67" s="2"/>
      <c r="U67" s="2"/>
      <c r="V67" s="2"/>
      <c r="W67" s="2"/>
      <c r="X67" s="2"/>
      <c r="Y67" s="2"/>
      <c r="Z67" s="2"/>
    </row>
    <row r="68">
      <c r="A68" s="2"/>
      <c r="B68" s="26">
        <v>60.0</v>
      </c>
      <c r="C68" s="26"/>
      <c r="D68" s="5"/>
      <c r="E68" s="5"/>
      <c r="F68" s="5"/>
      <c r="G68" s="5"/>
      <c r="H68" s="26"/>
      <c r="I68" s="2"/>
      <c r="J68" s="2"/>
      <c r="K68" s="2"/>
      <c r="L68" s="2"/>
      <c r="M68" s="2"/>
      <c r="N68" s="2"/>
      <c r="O68" s="2"/>
      <c r="P68" s="2"/>
      <c r="Q68" s="2"/>
      <c r="R68" s="2"/>
      <c r="S68" s="2"/>
      <c r="T68" s="2"/>
      <c r="U68" s="2"/>
      <c r="V68" s="2"/>
      <c r="W68" s="2"/>
      <c r="X68" s="2"/>
      <c r="Y68" s="2"/>
      <c r="Z68" s="2"/>
    </row>
    <row r="69">
      <c r="A69" s="2"/>
      <c r="B69" s="26">
        <v>61.0</v>
      </c>
      <c r="C69" s="26"/>
      <c r="D69" s="5"/>
      <c r="E69" s="5"/>
      <c r="F69" s="5"/>
      <c r="G69" s="5"/>
      <c r="H69" s="26"/>
      <c r="I69" s="2"/>
      <c r="J69" s="2"/>
      <c r="K69" s="2"/>
      <c r="L69" s="2"/>
      <c r="M69" s="2"/>
      <c r="N69" s="2"/>
      <c r="O69" s="2"/>
      <c r="P69" s="2"/>
      <c r="Q69" s="2"/>
      <c r="R69" s="2"/>
      <c r="S69" s="2"/>
      <c r="T69" s="2"/>
      <c r="U69" s="2"/>
      <c r="V69" s="2"/>
      <c r="W69" s="2"/>
      <c r="X69" s="2"/>
      <c r="Y69" s="2"/>
      <c r="Z69" s="2"/>
    </row>
    <row r="70">
      <c r="A70" s="2"/>
      <c r="B70" s="26">
        <v>62.0</v>
      </c>
      <c r="C70" s="26"/>
      <c r="D70" s="5"/>
      <c r="E70" s="5"/>
      <c r="F70" s="5"/>
      <c r="G70" s="5"/>
      <c r="H70" s="26"/>
      <c r="I70" s="2"/>
      <c r="J70" s="2"/>
      <c r="K70" s="2"/>
      <c r="L70" s="2"/>
      <c r="M70" s="2"/>
      <c r="N70" s="2"/>
      <c r="O70" s="2"/>
      <c r="P70" s="2"/>
      <c r="Q70" s="2"/>
      <c r="R70" s="2"/>
      <c r="S70" s="2"/>
      <c r="T70" s="2"/>
      <c r="U70" s="2"/>
      <c r="V70" s="2"/>
      <c r="W70" s="2"/>
      <c r="X70" s="2"/>
      <c r="Y70" s="2"/>
      <c r="Z70" s="2"/>
    </row>
    <row r="71">
      <c r="A71" s="2"/>
      <c r="B71" s="26">
        <v>63.0</v>
      </c>
      <c r="C71" s="26"/>
      <c r="D71" s="5"/>
      <c r="E71" s="5"/>
      <c r="F71" s="5"/>
      <c r="G71" s="5"/>
      <c r="H71" s="26"/>
      <c r="I71" s="2"/>
      <c r="J71" s="2"/>
      <c r="K71" s="2"/>
      <c r="L71" s="2"/>
      <c r="M71" s="2"/>
      <c r="N71" s="2"/>
      <c r="O71" s="2"/>
      <c r="P71" s="2"/>
      <c r="Q71" s="2"/>
      <c r="R71" s="2"/>
      <c r="S71" s="2"/>
      <c r="T71" s="2"/>
      <c r="U71" s="2"/>
      <c r="V71" s="2"/>
      <c r="W71" s="2"/>
      <c r="X71" s="2"/>
      <c r="Y71" s="2"/>
      <c r="Z71" s="2"/>
    </row>
    <row r="72">
      <c r="A72" s="2"/>
      <c r="B72" s="26">
        <v>64.0</v>
      </c>
      <c r="C72" s="26"/>
      <c r="D72" s="5"/>
      <c r="E72" s="5"/>
      <c r="F72" s="5"/>
      <c r="G72" s="5"/>
      <c r="H72" s="26"/>
      <c r="I72" s="2"/>
      <c r="J72" s="2"/>
      <c r="K72" s="2"/>
      <c r="L72" s="2"/>
      <c r="M72" s="2"/>
      <c r="N72" s="2"/>
      <c r="O72" s="2"/>
      <c r="P72" s="2"/>
      <c r="Q72" s="2"/>
      <c r="R72" s="2"/>
      <c r="S72" s="2"/>
      <c r="T72" s="2"/>
      <c r="U72" s="2"/>
      <c r="V72" s="2"/>
      <c r="W72" s="2"/>
      <c r="X72" s="2"/>
      <c r="Y72" s="2"/>
      <c r="Z72" s="2"/>
    </row>
    <row r="73">
      <c r="A73" s="2"/>
      <c r="B73" s="26">
        <v>65.0</v>
      </c>
      <c r="C73" s="26"/>
      <c r="D73" s="5"/>
      <c r="E73" s="5"/>
      <c r="F73" s="5"/>
      <c r="G73" s="5"/>
      <c r="H73" s="26"/>
      <c r="I73" s="2"/>
      <c r="J73" s="2"/>
      <c r="K73" s="2"/>
      <c r="L73" s="2"/>
      <c r="M73" s="2"/>
      <c r="N73" s="2"/>
      <c r="O73" s="2"/>
      <c r="P73" s="2"/>
      <c r="Q73" s="2"/>
      <c r="R73" s="2"/>
      <c r="S73" s="2"/>
      <c r="T73" s="2"/>
      <c r="U73" s="2"/>
      <c r="V73" s="2"/>
      <c r="W73" s="2"/>
      <c r="X73" s="2"/>
      <c r="Y73" s="2"/>
      <c r="Z73" s="2"/>
    </row>
    <row r="74">
      <c r="A74" s="2"/>
      <c r="B74" s="26">
        <v>66.0</v>
      </c>
      <c r="C74" s="26"/>
      <c r="D74" s="5"/>
      <c r="E74" s="5"/>
      <c r="F74" s="5"/>
      <c r="G74" s="5"/>
      <c r="H74" s="26"/>
      <c r="I74" s="2"/>
      <c r="J74" s="2"/>
      <c r="K74" s="2"/>
      <c r="L74" s="2"/>
      <c r="M74" s="2"/>
      <c r="N74" s="2"/>
      <c r="O74" s="2"/>
      <c r="P74" s="2"/>
      <c r="Q74" s="2"/>
      <c r="R74" s="2"/>
      <c r="S74" s="2"/>
      <c r="T74" s="2"/>
      <c r="U74" s="2"/>
      <c r="V74" s="2"/>
      <c r="W74" s="2"/>
      <c r="X74" s="2"/>
      <c r="Y74" s="2"/>
      <c r="Z74" s="2"/>
    </row>
    <row r="75">
      <c r="A75" s="2"/>
      <c r="B75" s="26">
        <v>67.0</v>
      </c>
      <c r="C75" s="26"/>
      <c r="D75" s="5"/>
      <c r="E75" s="5"/>
      <c r="F75" s="5"/>
      <c r="G75" s="5"/>
      <c r="H75" s="26"/>
      <c r="I75" s="2"/>
      <c r="J75" s="2"/>
      <c r="K75" s="2"/>
      <c r="L75" s="2"/>
      <c r="M75" s="2"/>
      <c r="N75" s="2"/>
      <c r="O75" s="2"/>
      <c r="P75" s="2"/>
      <c r="Q75" s="2"/>
      <c r="R75" s="2"/>
      <c r="S75" s="2"/>
      <c r="T75" s="2"/>
      <c r="U75" s="2"/>
      <c r="V75" s="2"/>
      <c r="W75" s="2"/>
      <c r="X75" s="2"/>
      <c r="Y75" s="2"/>
      <c r="Z75" s="2"/>
    </row>
    <row r="76">
      <c r="A76" s="2"/>
      <c r="B76" s="26">
        <v>68.0</v>
      </c>
      <c r="C76" s="26"/>
      <c r="D76" s="5"/>
      <c r="E76" s="5"/>
      <c r="F76" s="5"/>
      <c r="G76" s="5"/>
      <c r="H76" s="26"/>
      <c r="I76" s="2"/>
      <c r="J76" s="2"/>
      <c r="K76" s="2"/>
      <c r="L76" s="2"/>
      <c r="M76" s="2"/>
      <c r="N76" s="2"/>
      <c r="O76" s="2"/>
      <c r="P76" s="2"/>
      <c r="Q76" s="2"/>
      <c r="R76" s="2"/>
      <c r="S76" s="2"/>
      <c r="T76" s="2"/>
      <c r="U76" s="2"/>
      <c r="V76" s="2"/>
      <c r="W76" s="2"/>
      <c r="X76" s="2"/>
      <c r="Y76" s="2"/>
      <c r="Z76" s="2"/>
    </row>
    <row r="77">
      <c r="A77" s="2"/>
      <c r="B77" s="26">
        <v>69.0</v>
      </c>
      <c r="C77" s="26"/>
      <c r="D77" s="5"/>
      <c r="E77" s="5"/>
      <c r="F77" s="5"/>
      <c r="G77" s="5"/>
      <c r="H77" s="26"/>
      <c r="I77" s="2"/>
      <c r="J77" s="2"/>
      <c r="K77" s="2"/>
      <c r="L77" s="2"/>
      <c r="M77" s="2"/>
      <c r="N77" s="2"/>
      <c r="O77" s="2"/>
      <c r="P77" s="2"/>
      <c r="Q77" s="2"/>
      <c r="R77" s="2"/>
      <c r="S77" s="2"/>
      <c r="T77" s="2"/>
      <c r="U77" s="2"/>
      <c r="V77" s="2"/>
      <c r="W77" s="2"/>
      <c r="X77" s="2"/>
      <c r="Y77" s="2"/>
      <c r="Z77" s="2"/>
    </row>
    <row r="78">
      <c r="A78" s="2"/>
      <c r="B78" s="26">
        <v>70.0</v>
      </c>
      <c r="C78" s="26"/>
      <c r="D78" s="5"/>
      <c r="E78" s="5"/>
      <c r="F78" s="5"/>
      <c r="G78" s="5"/>
      <c r="H78" s="26"/>
      <c r="I78" s="2"/>
      <c r="J78" s="2"/>
      <c r="K78" s="2"/>
      <c r="L78" s="2"/>
      <c r="M78" s="2"/>
      <c r="N78" s="2"/>
      <c r="O78" s="2"/>
      <c r="P78" s="2"/>
      <c r="Q78" s="2"/>
      <c r="R78" s="2"/>
      <c r="S78" s="2"/>
      <c r="T78" s="2"/>
      <c r="U78" s="2"/>
      <c r="V78" s="2"/>
      <c r="W78" s="2"/>
      <c r="X78" s="2"/>
      <c r="Y78" s="2"/>
      <c r="Z78" s="2"/>
    </row>
    <row r="79">
      <c r="A79" s="2"/>
      <c r="B79" s="26">
        <v>71.0</v>
      </c>
      <c r="C79" s="26"/>
      <c r="D79" s="5"/>
      <c r="E79" s="5"/>
      <c r="F79" s="5"/>
      <c r="G79" s="5"/>
      <c r="H79" s="26"/>
      <c r="I79" s="2"/>
      <c r="J79" s="2"/>
      <c r="K79" s="2"/>
      <c r="L79" s="2"/>
      <c r="M79" s="2"/>
      <c r="N79" s="2"/>
      <c r="O79" s="2"/>
      <c r="P79" s="2"/>
      <c r="Q79" s="2"/>
      <c r="R79" s="2"/>
      <c r="S79" s="2"/>
      <c r="T79" s="2"/>
      <c r="U79" s="2"/>
      <c r="V79" s="2"/>
      <c r="W79" s="2"/>
      <c r="X79" s="2"/>
      <c r="Y79" s="2"/>
      <c r="Z79" s="2"/>
    </row>
    <row r="80">
      <c r="A80" s="2"/>
      <c r="B80" s="26">
        <v>72.0</v>
      </c>
      <c r="C80" s="26"/>
      <c r="D80" s="5"/>
      <c r="E80" s="5"/>
      <c r="F80" s="5"/>
      <c r="G80" s="5"/>
      <c r="H80" s="26"/>
      <c r="I80" s="2"/>
      <c r="J80" s="2"/>
      <c r="K80" s="2"/>
      <c r="L80" s="2"/>
      <c r="M80" s="2"/>
      <c r="N80" s="2"/>
      <c r="O80" s="2"/>
      <c r="P80" s="2"/>
      <c r="Q80" s="2"/>
      <c r="R80" s="2"/>
      <c r="S80" s="2"/>
      <c r="T80" s="2"/>
      <c r="U80" s="2"/>
      <c r="V80" s="2"/>
      <c r="W80" s="2"/>
      <c r="X80" s="2"/>
      <c r="Y80" s="2"/>
      <c r="Z80" s="2"/>
    </row>
    <row r="81">
      <c r="A81" s="2"/>
      <c r="B81" s="26">
        <v>73.0</v>
      </c>
      <c r="C81" s="26"/>
      <c r="D81" s="5"/>
      <c r="E81" s="5"/>
      <c r="F81" s="5"/>
      <c r="G81" s="5"/>
      <c r="H81" s="26"/>
      <c r="I81" s="2"/>
      <c r="J81" s="2"/>
      <c r="K81" s="2"/>
      <c r="L81" s="2"/>
      <c r="M81" s="2"/>
      <c r="N81" s="2"/>
      <c r="O81" s="2"/>
      <c r="P81" s="2"/>
      <c r="Q81" s="2"/>
      <c r="R81" s="2"/>
      <c r="S81" s="2"/>
      <c r="T81" s="2"/>
      <c r="U81" s="2"/>
      <c r="V81" s="2"/>
      <c r="W81" s="2"/>
      <c r="X81" s="2"/>
      <c r="Y81" s="2"/>
      <c r="Z81" s="2"/>
    </row>
    <row r="82">
      <c r="A82" s="2"/>
      <c r="B82" s="26">
        <v>74.0</v>
      </c>
      <c r="C82" s="26"/>
      <c r="D82" s="5"/>
      <c r="E82" s="5"/>
      <c r="F82" s="5"/>
      <c r="G82" s="5"/>
      <c r="H82" s="26"/>
      <c r="I82" s="2"/>
      <c r="J82" s="2"/>
      <c r="K82" s="2"/>
      <c r="L82" s="2"/>
      <c r="M82" s="2"/>
      <c r="N82" s="2"/>
      <c r="O82" s="2"/>
      <c r="P82" s="2"/>
      <c r="Q82" s="2"/>
      <c r="R82" s="2"/>
      <c r="S82" s="2"/>
      <c r="T82" s="2"/>
      <c r="U82" s="2"/>
      <c r="V82" s="2"/>
      <c r="W82" s="2"/>
      <c r="X82" s="2"/>
      <c r="Y82" s="2"/>
      <c r="Z82" s="2"/>
    </row>
    <row r="83">
      <c r="A83" s="2"/>
      <c r="B83" s="26">
        <v>75.0</v>
      </c>
      <c r="C83" s="26"/>
      <c r="D83" s="5"/>
      <c r="E83" s="5"/>
      <c r="F83" s="5"/>
      <c r="G83" s="5"/>
      <c r="H83" s="26"/>
      <c r="I83" s="2"/>
      <c r="J83" s="2"/>
      <c r="K83" s="2"/>
      <c r="L83" s="2"/>
      <c r="M83" s="2"/>
      <c r="N83" s="2"/>
      <c r="O83" s="2"/>
      <c r="P83" s="2"/>
      <c r="Q83" s="2"/>
      <c r="R83" s="2"/>
      <c r="S83" s="2"/>
      <c r="T83" s="2"/>
      <c r="U83" s="2"/>
      <c r="V83" s="2"/>
      <c r="W83" s="2"/>
      <c r="X83" s="2"/>
      <c r="Y83" s="2"/>
      <c r="Z83" s="2"/>
    </row>
    <row r="84">
      <c r="A84" s="2"/>
      <c r="B84" s="26">
        <v>76.0</v>
      </c>
      <c r="C84" s="26"/>
      <c r="D84" s="5"/>
      <c r="E84" s="5"/>
      <c r="F84" s="5"/>
      <c r="G84" s="5"/>
      <c r="H84" s="26"/>
      <c r="I84" s="2"/>
      <c r="J84" s="2"/>
      <c r="K84" s="2"/>
      <c r="L84" s="2"/>
      <c r="M84" s="2"/>
      <c r="N84" s="2"/>
      <c r="O84" s="2"/>
      <c r="P84" s="2"/>
      <c r="Q84" s="2"/>
      <c r="R84" s="2"/>
      <c r="S84" s="2"/>
      <c r="T84" s="2"/>
      <c r="U84" s="2"/>
      <c r="V84" s="2"/>
      <c r="W84" s="2"/>
      <c r="X84" s="2"/>
      <c r="Y84" s="2"/>
      <c r="Z84" s="2"/>
    </row>
    <row r="85">
      <c r="A85" s="2"/>
      <c r="B85" s="26">
        <v>77.0</v>
      </c>
      <c r="C85" s="26"/>
      <c r="D85" s="5"/>
      <c r="E85" s="5"/>
      <c r="F85" s="5"/>
      <c r="G85" s="5"/>
      <c r="H85" s="26"/>
      <c r="I85" s="2"/>
      <c r="J85" s="2"/>
      <c r="K85" s="2"/>
      <c r="L85" s="2"/>
      <c r="M85" s="2"/>
      <c r="N85" s="2"/>
      <c r="O85" s="2"/>
      <c r="P85" s="2"/>
      <c r="Q85" s="2"/>
      <c r="R85" s="2"/>
      <c r="S85" s="2"/>
      <c r="T85" s="2"/>
      <c r="U85" s="2"/>
      <c r="V85" s="2"/>
      <c r="W85" s="2"/>
      <c r="X85" s="2"/>
      <c r="Y85" s="2"/>
      <c r="Z85" s="2"/>
    </row>
    <row r="86">
      <c r="A86" s="2"/>
      <c r="B86" s="26">
        <v>78.0</v>
      </c>
      <c r="C86" s="26"/>
      <c r="D86" s="5"/>
      <c r="E86" s="5"/>
      <c r="F86" s="5"/>
      <c r="G86" s="5"/>
      <c r="H86" s="26"/>
      <c r="I86" s="2"/>
      <c r="J86" s="2"/>
      <c r="K86" s="2"/>
      <c r="L86" s="2"/>
      <c r="M86" s="2"/>
      <c r="N86" s="2"/>
      <c r="O86" s="2"/>
      <c r="P86" s="2"/>
      <c r="Q86" s="2"/>
      <c r="R86" s="2"/>
      <c r="S86" s="2"/>
      <c r="T86" s="2"/>
      <c r="U86" s="2"/>
      <c r="V86" s="2"/>
      <c r="W86" s="2"/>
      <c r="X86" s="2"/>
      <c r="Y86" s="2"/>
      <c r="Z86" s="2"/>
    </row>
    <row r="87">
      <c r="A87" s="2"/>
      <c r="B87" s="26">
        <v>79.0</v>
      </c>
      <c r="C87" s="26"/>
      <c r="D87" s="5"/>
      <c r="E87" s="5"/>
      <c r="F87" s="5"/>
      <c r="G87" s="5"/>
      <c r="H87" s="26"/>
      <c r="I87" s="2"/>
      <c r="J87" s="2"/>
      <c r="K87" s="2"/>
      <c r="L87" s="2"/>
      <c r="M87" s="2"/>
      <c r="N87" s="2"/>
      <c r="O87" s="2"/>
      <c r="P87" s="2"/>
      <c r="Q87" s="2"/>
      <c r="R87" s="2"/>
      <c r="S87" s="2"/>
      <c r="T87" s="2"/>
      <c r="U87" s="2"/>
      <c r="V87" s="2"/>
      <c r="W87" s="2"/>
      <c r="X87" s="2"/>
      <c r="Y87" s="2"/>
      <c r="Z87" s="2"/>
    </row>
    <row r="88">
      <c r="A88" s="2"/>
      <c r="B88" s="26">
        <v>80.0</v>
      </c>
      <c r="C88" s="26"/>
      <c r="D88" s="5"/>
      <c r="E88" s="5"/>
      <c r="F88" s="5"/>
      <c r="G88" s="5"/>
      <c r="H88" s="26"/>
      <c r="I88" s="2"/>
      <c r="J88" s="2"/>
      <c r="K88" s="2"/>
      <c r="L88" s="2"/>
      <c r="M88" s="2"/>
      <c r="N88" s="2"/>
      <c r="O88" s="2"/>
      <c r="P88" s="2"/>
      <c r="Q88" s="2"/>
      <c r="R88" s="2"/>
      <c r="S88" s="2"/>
      <c r="T88" s="2"/>
      <c r="U88" s="2"/>
      <c r="V88" s="2"/>
      <c r="W88" s="2"/>
      <c r="X88" s="2"/>
      <c r="Y88" s="2"/>
      <c r="Z88" s="2"/>
    </row>
    <row r="89">
      <c r="A89" s="2"/>
      <c r="B89" s="26">
        <v>81.0</v>
      </c>
      <c r="C89" s="26"/>
      <c r="D89" s="5"/>
      <c r="E89" s="5"/>
      <c r="F89" s="5"/>
      <c r="G89" s="5"/>
      <c r="H89" s="26"/>
      <c r="I89" s="2"/>
      <c r="J89" s="2"/>
      <c r="K89" s="2"/>
      <c r="L89" s="2"/>
      <c r="M89" s="2"/>
      <c r="N89" s="2"/>
      <c r="O89" s="2"/>
      <c r="P89" s="2"/>
      <c r="Q89" s="2"/>
      <c r="R89" s="2"/>
      <c r="S89" s="2"/>
      <c r="T89" s="2"/>
      <c r="U89" s="2"/>
      <c r="V89" s="2"/>
      <c r="W89" s="2"/>
      <c r="X89" s="2"/>
      <c r="Y89" s="2"/>
      <c r="Z89" s="2"/>
    </row>
    <row r="90">
      <c r="A90" s="2"/>
      <c r="B90" s="26">
        <v>82.0</v>
      </c>
      <c r="C90" s="26"/>
      <c r="D90" s="5"/>
      <c r="E90" s="5"/>
      <c r="F90" s="5"/>
      <c r="G90" s="5"/>
      <c r="H90" s="26"/>
      <c r="I90" s="2"/>
      <c r="J90" s="2"/>
      <c r="K90" s="2"/>
      <c r="L90" s="2"/>
      <c r="M90" s="2"/>
      <c r="N90" s="2"/>
      <c r="O90" s="2"/>
      <c r="P90" s="2"/>
      <c r="Q90" s="2"/>
      <c r="R90" s="2"/>
      <c r="S90" s="2"/>
      <c r="T90" s="2"/>
      <c r="U90" s="2"/>
      <c r="V90" s="2"/>
      <c r="W90" s="2"/>
      <c r="X90" s="2"/>
      <c r="Y90" s="2"/>
      <c r="Z90" s="2"/>
    </row>
    <row r="91">
      <c r="A91" s="2"/>
      <c r="B91" s="26">
        <v>83.0</v>
      </c>
      <c r="C91" s="26"/>
      <c r="D91" s="5"/>
      <c r="E91" s="5"/>
      <c r="F91" s="5"/>
      <c r="G91" s="5"/>
      <c r="H91" s="26"/>
      <c r="I91" s="2"/>
      <c r="J91" s="2"/>
      <c r="K91" s="2"/>
      <c r="L91" s="2"/>
      <c r="M91" s="2"/>
      <c r="N91" s="2"/>
      <c r="O91" s="2"/>
      <c r="P91" s="2"/>
      <c r="Q91" s="2"/>
      <c r="R91" s="2"/>
      <c r="S91" s="2"/>
      <c r="T91" s="2"/>
      <c r="U91" s="2"/>
      <c r="V91" s="2"/>
      <c r="W91" s="2"/>
      <c r="X91" s="2"/>
      <c r="Y91" s="2"/>
      <c r="Z91" s="2"/>
    </row>
    <row r="92">
      <c r="A92" s="2"/>
      <c r="B92" s="26">
        <v>84.0</v>
      </c>
      <c r="C92" s="26"/>
      <c r="D92" s="5"/>
      <c r="E92" s="5"/>
      <c r="F92" s="5"/>
      <c r="G92" s="5"/>
      <c r="H92" s="26"/>
      <c r="I92" s="2"/>
      <c r="J92" s="2"/>
      <c r="K92" s="2"/>
      <c r="L92" s="2"/>
      <c r="M92" s="2"/>
      <c r="N92" s="2"/>
      <c r="O92" s="2"/>
      <c r="P92" s="2"/>
      <c r="Q92" s="2"/>
      <c r="R92" s="2"/>
      <c r="S92" s="2"/>
      <c r="T92" s="2"/>
      <c r="U92" s="2"/>
      <c r="V92" s="2"/>
      <c r="W92" s="2"/>
      <c r="X92" s="2"/>
      <c r="Y92" s="2"/>
      <c r="Z92" s="2"/>
    </row>
    <row r="93">
      <c r="A93" s="2"/>
      <c r="B93" s="26">
        <v>85.0</v>
      </c>
      <c r="C93" s="26"/>
      <c r="D93" s="5"/>
      <c r="E93" s="5"/>
      <c r="F93" s="5"/>
      <c r="G93" s="5"/>
      <c r="H93" s="26"/>
      <c r="I93" s="2"/>
      <c r="J93" s="2"/>
      <c r="K93" s="2"/>
      <c r="L93" s="2"/>
      <c r="M93" s="2"/>
      <c r="N93" s="2"/>
      <c r="O93" s="2"/>
      <c r="P93" s="2"/>
      <c r="Q93" s="2"/>
      <c r="R93" s="2"/>
      <c r="S93" s="2"/>
      <c r="T93" s="2"/>
      <c r="U93" s="2"/>
      <c r="V93" s="2"/>
      <c r="W93" s="2"/>
      <c r="X93" s="2"/>
      <c r="Y93" s="2"/>
      <c r="Z93" s="2"/>
    </row>
    <row r="94">
      <c r="A94" s="2"/>
      <c r="B94" s="26">
        <v>86.0</v>
      </c>
      <c r="C94" s="26"/>
      <c r="D94" s="5"/>
      <c r="E94" s="5"/>
      <c r="F94" s="5"/>
      <c r="G94" s="5"/>
      <c r="H94" s="26"/>
      <c r="I94" s="2"/>
      <c r="J94" s="2"/>
      <c r="K94" s="2"/>
      <c r="L94" s="2"/>
      <c r="M94" s="2"/>
      <c r="N94" s="2"/>
      <c r="O94" s="2"/>
      <c r="P94" s="2"/>
      <c r="Q94" s="2"/>
      <c r="R94" s="2"/>
      <c r="S94" s="2"/>
      <c r="T94" s="2"/>
      <c r="U94" s="2"/>
      <c r="V94" s="2"/>
      <c r="W94" s="2"/>
      <c r="X94" s="2"/>
      <c r="Y94" s="2"/>
      <c r="Z94" s="2"/>
    </row>
    <row r="95">
      <c r="A95" s="2"/>
      <c r="B95" s="26">
        <v>87.0</v>
      </c>
      <c r="C95" s="26"/>
      <c r="D95" s="5"/>
      <c r="E95" s="5"/>
      <c r="F95" s="5"/>
      <c r="G95" s="5"/>
      <c r="H95" s="26"/>
      <c r="I95" s="2"/>
      <c r="J95" s="2"/>
      <c r="K95" s="2"/>
      <c r="L95" s="2"/>
      <c r="M95" s="2"/>
      <c r="N95" s="2"/>
      <c r="O95" s="2"/>
      <c r="P95" s="2"/>
      <c r="Q95" s="2"/>
      <c r="R95" s="2"/>
      <c r="S95" s="2"/>
      <c r="T95" s="2"/>
      <c r="U95" s="2"/>
      <c r="V95" s="2"/>
      <c r="W95" s="2"/>
      <c r="X95" s="2"/>
      <c r="Y95" s="2"/>
      <c r="Z95" s="2"/>
    </row>
    <row r="96">
      <c r="A96" s="2"/>
      <c r="B96" s="26">
        <v>88.0</v>
      </c>
      <c r="C96" s="26"/>
      <c r="D96" s="5"/>
      <c r="E96" s="5"/>
      <c r="F96" s="5"/>
      <c r="G96" s="5"/>
      <c r="H96" s="26"/>
      <c r="I96" s="2"/>
      <c r="J96" s="2"/>
      <c r="K96" s="2"/>
      <c r="L96" s="2"/>
      <c r="M96" s="2"/>
      <c r="N96" s="2"/>
      <c r="O96" s="2"/>
      <c r="P96" s="2"/>
      <c r="Q96" s="2"/>
      <c r="R96" s="2"/>
      <c r="S96" s="2"/>
      <c r="T96" s="2"/>
      <c r="U96" s="2"/>
      <c r="V96" s="2"/>
      <c r="W96" s="2"/>
      <c r="X96" s="2"/>
      <c r="Y96" s="2"/>
      <c r="Z96" s="2"/>
    </row>
    <row r="97">
      <c r="A97" s="2"/>
      <c r="B97" s="26">
        <v>89.0</v>
      </c>
      <c r="C97" s="26"/>
      <c r="D97" s="5"/>
      <c r="E97" s="5"/>
      <c r="F97" s="5"/>
      <c r="G97" s="5"/>
      <c r="H97" s="26"/>
      <c r="I97" s="2"/>
      <c r="J97" s="2"/>
      <c r="K97" s="2"/>
      <c r="L97" s="2"/>
      <c r="M97" s="2"/>
      <c r="N97" s="2"/>
      <c r="O97" s="2"/>
      <c r="P97" s="2"/>
      <c r="Q97" s="2"/>
      <c r="R97" s="2"/>
      <c r="S97" s="2"/>
      <c r="T97" s="2"/>
      <c r="U97" s="2"/>
      <c r="V97" s="2"/>
      <c r="W97" s="2"/>
      <c r="X97" s="2"/>
      <c r="Y97" s="2"/>
      <c r="Z97" s="2"/>
    </row>
    <row r="98">
      <c r="A98" s="2"/>
      <c r="B98" s="26">
        <v>90.0</v>
      </c>
      <c r="C98" s="26"/>
      <c r="D98" s="5"/>
      <c r="E98" s="5"/>
      <c r="F98" s="5"/>
      <c r="G98" s="5"/>
      <c r="H98" s="26"/>
      <c r="I98" s="2"/>
      <c r="J98" s="2"/>
      <c r="K98" s="2"/>
      <c r="L98" s="2"/>
      <c r="M98" s="2"/>
      <c r="N98" s="2"/>
      <c r="O98" s="2"/>
      <c r="P98" s="2"/>
      <c r="Q98" s="2"/>
      <c r="R98" s="2"/>
      <c r="S98" s="2"/>
      <c r="T98" s="2"/>
      <c r="U98" s="2"/>
      <c r="V98" s="2"/>
      <c r="W98" s="2"/>
      <c r="X98" s="2"/>
      <c r="Y98" s="2"/>
      <c r="Z98" s="2"/>
    </row>
    <row r="99">
      <c r="A99" s="2"/>
      <c r="B99" s="26">
        <v>91.0</v>
      </c>
      <c r="C99" s="26"/>
      <c r="D99" s="5"/>
      <c r="E99" s="5"/>
      <c r="F99" s="5"/>
      <c r="G99" s="5"/>
      <c r="H99" s="26"/>
      <c r="I99" s="2"/>
      <c r="J99" s="2"/>
      <c r="K99" s="2"/>
      <c r="L99" s="2"/>
      <c r="M99" s="2"/>
      <c r="N99" s="2"/>
      <c r="O99" s="2"/>
      <c r="P99" s="2"/>
      <c r="Q99" s="2"/>
      <c r="R99" s="2"/>
      <c r="S99" s="2"/>
      <c r="T99" s="2"/>
      <c r="U99" s="2"/>
      <c r="V99" s="2"/>
      <c r="W99" s="2"/>
      <c r="X99" s="2"/>
      <c r="Y99" s="2"/>
      <c r="Z99" s="2"/>
    </row>
    <row r="100">
      <c r="A100" s="2"/>
      <c r="B100" s="26">
        <v>92.0</v>
      </c>
      <c r="C100" s="26"/>
      <c r="D100" s="5"/>
      <c r="E100" s="5"/>
      <c r="F100" s="5"/>
      <c r="G100" s="5"/>
      <c r="H100" s="26"/>
      <c r="I100" s="2"/>
      <c r="J100" s="2"/>
      <c r="K100" s="2"/>
      <c r="L100" s="2"/>
      <c r="M100" s="2"/>
      <c r="N100" s="2"/>
      <c r="O100" s="2"/>
      <c r="P100" s="2"/>
      <c r="Q100" s="2"/>
      <c r="R100" s="2"/>
      <c r="S100" s="2"/>
      <c r="T100" s="2"/>
      <c r="U100" s="2"/>
      <c r="V100" s="2"/>
      <c r="W100" s="2"/>
      <c r="X100" s="2"/>
      <c r="Y100" s="2"/>
      <c r="Z100" s="2"/>
    </row>
    <row r="101">
      <c r="A101" s="2"/>
      <c r="B101" s="26">
        <v>93.0</v>
      </c>
      <c r="C101" s="26"/>
      <c r="D101" s="5"/>
      <c r="E101" s="5"/>
      <c r="F101" s="5"/>
      <c r="G101" s="5"/>
      <c r="H101" s="26"/>
      <c r="I101" s="2"/>
      <c r="J101" s="2"/>
      <c r="K101" s="2"/>
      <c r="L101" s="2"/>
      <c r="M101" s="2"/>
      <c r="N101" s="2"/>
      <c r="O101" s="2"/>
      <c r="P101" s="2"/>
      <c r="Q101" s="2"/>
      <c r="R101" s="2"/>
      <c r="S101" s="2"/>
      <c r="T101" s="2"/>
      <c r="U101" s="2"/>
      <c r="V101" s="2"/>
      <c r="W101" s="2"/>
      <c r="X101" s="2"/>
      <c r="Y101" s="2"/>
      <c r="Z101" s="2"/>
    </row>
    <row r="102">
      <c r="A102" s="2"/>
      <c r="B102" s="26">
        <v>94.0</v>
      </c>
      <c r="C102" s="26"/>
      <c r="D102" s="5"/>
      <c r="E102" s="5"/>
      <c r="F102" s="5"/>
      <c r="G102" s="5"/>
      <c r="H102" s="26"/>
      <c r="I102" s="2"/>
      <c r="J102" s="2"/>
      <c r="K102" s="2"/>
      <c r="L102" s="2"/>
      <c r="M102" s="2"/>
      <c r="N102" s="2"/>
      <c r="O102" s="2"/>
      <c r="P102" s="2"/>
      <c r="Q102" s="2"/>
      <c r="R102" s="2"/>
      <c r="S102" s="2"/>
      <c r="T102" s="2"/>
      <c r="U102" s="2"/>
      <c r="V102" s="2"/>
      <c r="W102" s="2"/>
      <c r="X102" s="2"/>
      <c r="Y102" s="2"/>
      <c r="Z102" s="2"/>
    </row>
    <row r="103">
      <c r="A103" s="2"/>
      <c r="B103" s="26">
        <v>95.0</v>
      </c>
      <c r="C103" s="26"/>
      <c r="D103" s="5"/>
      <c r="E103" s="5"/>
      <c r="F103" s="5"/>
      <c r="G103" s="5"/>
      <c r="H103" s="5"/>
      <c r="I103" s="2"/>
      <c r="J103" s="2"/>
      <c r="K103" s="2"/>
      <c r="L103" s="2"/>
      <c r="M103" s="2"/>
      <c r="N103" s="2"/>
      <c r="O103" s="2"/>
      <c r="P103" s="2"/>
      <c r="Q103" s="2"/>
      <c r="R103" s="2"/>
      <c r="S103" s="2"/>
      <c r="T103" s="2"/>
      <c r="U103" s="2"/>
      <c r="V103" s="2"/>
      <c r="W103" s="2"/>
      <c r="X103" s="2"/>
      <c r="Y103" s="2"/>
      <c r="Z103" s="2"/>
    </row>
    <row r="104">
      <c r="A104" s="2"/>
      <c r="B104" s="26">
        <v>96.0</v>
      </c>
      <c r="C104" s="26"/>
      <c r="D104" s="5"/>
      <c r="E104" s="5"/>
      <c r="F104" s="5"/>
      <c r="G104" s="5"/>
      <c r="H104" s="5"/>
      <c r="I104" s="2"/>
      <c r="J104" s="2"/>
      <c r="K104" s="2"/>
      <c r="L104" s="2"/>
      <c r="M104" s="2"/>
      <c r="N104" s="2"/>
      <c r="O104" s="2"/>
      <c r="P104" s="2"/>
      <c r="Q104" s="2"/>
      <c r="R104" s="2"/>
      <c r="S104" s="2"/>
      <c r="T104" s="2"/>
      <c r="U104" s="2"/>
      <c r="V104" s="2"/>
      <c r="W104" s="2"/>
      <c r="X104" s="2"/>
      <c r="Y104" s="2"/>
      <c r="Z104" s="2"/>
    </row>
    <row r="105">
      <c r="A105" s="2"/>
      <c r="B105" s="26">
        <v>97.0</v>
      </c>
      <c r="C105" s="26"/>
      <c r="D105" s="5"/>
      <c r="E105" s="5"/>
      <c r="F105" s="5"/>
      <c r="G105" s="5"/>
      <c r="H105" s="5"/>
      <c r="I105" s="2"/>
      <c r="J105" s="2"/>
      <c r="K105" s="2"/>
      <c r="L105" s="2"/>
      <c r="M105" s="2"/>
      <c r="N105" s="2"/>
      <c r="O105" s="2"/>
      <c r="P105" s="2"/>
      <c r="Q105" s="2"/>
      <c r="R105" s="2"/>
      <c r="S105" s="2"/>
      <c r="T105" s="2"/>
      <c r="U105" s="2"/>
      <c r="V105" s="2"/>
      <c r="W105" s="2"/>
      <c r="X105" s="2"/>
      <c r="Y105" s="2"/>
      <c r="Z105" s="2"/>
    </row>
    <row r="106">
      <c r="A106" s="2"/>
      <c r="B106" s="26">
        <v>98.0</v>
      </c>
      <c r="C106" s="26"/>
      <c r="D106" s="5"/>
      <c r="E106" s="5"/>
      <c r="F106" s="5"/>
      <c r="G106" s="5"/>
      <c r="H106" s="5"/>
      <c r="I106" s="2"/>
      <c r="J106" s="2"/>
      <c r="K106" s="2"/>
      <c r="L106" s="2"/>
      <c r="M106" s="2"/>
      <c r="N106" s="2"/>
      <c r="O106" s="2"/>
      <c r="P106" s="2"/>
      <c r="Q106" s="2"/>
      <c r="R106" s="2"/>
      <c r="S106" s="2"/>
      <c r="T106" s="2"/>
      <c r="U106" s="2"/>
      <c r="V106" s="2"/>
      <c r="W106" s="2"/>
      <c r="X106" s="2"/>
      <c r="Y106" s="2"/>
      <c r="Z106" s="2"/>
    </row>
    <row r="107">
      <c r="A107" s="2"/>
      <c r="B107" s="26">
        <v>99.0</v>
      </c>
      <c r="C107" s="26"/>
      <c r="D107" s="5"/>
      <c r="E107" s="5"/>
      <c r="F107" s="5"/>
      <c r="G107" s="5"/>
      <c r="H107" s="5"/>
      <c r="I107" s="2"/>
      <c r="J107" s="2"/>
      <c r="K107" s="2"/>
      <c r="L107" s="2"/>
      <c r="M107" s="2"/>
      <c r="N107" s="2"/>
      <c r="O107" s="2"/>
      <c r="P107" s="2"/>
      <c r="Q107" s="2"/>
      <c r="R107" s="2"/>
      <c r="S107" s="2"/>
      <c r="T107" s="2"/>
      <c r="U107" s="2"/>
      <c r="V107" s="2"/>
      <c r="W107" s="2"/>
      <c r="X107" s="2"/>
      <c r="Y107" s="2"/>
      <c r="Z107" s="2"/>
    </row>
    <row r="108">
      <c r="A108" s="2"/>
      <c r="B108" s="26">
        <v>100.0</v>
      </c>
      <c r="C108" s="26"/>
      <c r="D108" s="5"/>
      <c r="E108" s="5"/>
      <c r="F108" s="5"/>
      <c r="G108" s="5"/>
      <c r="H108" s="5"/>
      <c r="I108" s="2"/>
      <c r="J108" s="2"/>
      <c r="K108" s="2"/>
      <c r="L108" s="2"/>
      <c r="M108" s="2"/>
      <c r="N108" s="2"/>
      <c r="O108" s="2"/>
      <c r="P108" s="2"/>
      <c r="Q108" s="2"/>
      <c r="R108" s="2"/>
      <c r="S108" s="2"/>
      <c r="T108" s="2"/>
      <c r="U108" s="2"/>
      <c r="V108" s="2"/>
      <c r="W108" s="2"/>
      <c r="X108" s="2"/>
      <c r="Y108" s="2"/>
      <c r="Z108" s="2"/>
    </row>
    <row r="109" ht="15.75" customHeight="1">
      <c r="A109" s="2"/>
      <c r="B109" s="2"/>
      <c r="C109" s="17"/>
      <c r="D109" s="2"/>
      <c r="E109" s="2"/>
      <c r="F109" s="5"/>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17"/>
      <c r="D110" s="2"/>
      <c r="E110" s="2"/>
      <c r="F110" s="5"/>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17"/>
      <c r="D111" s="2"/>
      <c r="E111" s="2"/>
      <c r="F111" s="5"/>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17"/>
      <c r="D112" s="2"/>
      <c r="E112" s="2"/>
      <c r="F112" s="5"/>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17"/>
      <c r="D113" s="2"/>
      <c r="E113" s="2"/>
      <c r="F113" s="5"/>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17"/>
      <c r="D114" s="2"/>
      <c r="E114" s="2"/>
      <c r="F114" s="5"/>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17"/>
      <c r="D115" s="2"/>
      <c r="E115" s="2"/>
      <c r="F115" s="5"/>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17"/>
      <c r="D116" s="2"/>
      <c r="E116" s="2"/>
      <c r="F116" s="5"/>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17"/>
      <c r="D117" s="2"/>
      <c r="E117" s="2"/>
      <c r="F117" s="5"/>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17"/>
      <c r="D118" s="2"/>
      <c r="E118" s="2"/>
      <c r="F118" s="5"/>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17"/>
      <c r="D119" s="2"/>
      <c r="E119" s="2"/>
      <c r="F119" s="5"/>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17"/>
      <c r="D120" s="2"/>
      <c r="E120" s="2"/>
      <c r="F120" s="5"/>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17"/>
      <c r="D121" s="2"/>
      <c r="E121" s="2"/>
      <c r="F121" s="5"/>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17"/>
      <c r="D122" s="2"/>
      <c r="E122" s="2"/>
      <c r="F122" s="5"/>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17"/>
      <c r="D123" s="2"/>
      <c r="E123" s="2"/>
      <c r="F123" s="5"/>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17"/>
      <c r="D124" s="2"/>
      <c r="E124" s="2"/>
      <c r="F124" s="5"/>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17"/>
      <c r="D125" s="2"/>
      <c r="E125" s="2"/>
      <c r="F125" s="5"/>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17"/>
      <c r="D126" s="2"/>
      <c r="E126" s="2"/>
      <c r="F126" s="5"/>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17"/>
      <c r="D127" s="2"/>
      <c r="E127" s="2"/>
      <c r="F127" s="5"/>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17"/>
      <c r="D128" s="2"/>
      <c r="E128" s="2"/>
      <c r="F128" s="5"/>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17"/>
      <c r="D129" s="2"/>
      <c r="E129" s="2"/>
      <c r="F129" s="5"/>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17"/>
      <c r="D130" s="2"/>
      <c r="E130" s="2"/>
      <c r="F130" s="5"/>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17"/>
      <c r="D131" s="2"/>
      <c r="E131" s="2"/>
      <c r="F131" s="5"/>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17"/>
      <c r="D132" s="2"/>
      <c r="E132" s="2"/>
      <c r="F132" s="5"/>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17"/>
      <c r="D133" s="2"/>
      <c r="E133" s="2"/>
      <c r="F133" s="5"/>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17"/>
      <c r="D134" s="2"/>
      <c r="E134" s="2"/>
      <c r="F134" s="5"/>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17"/>
      <c r="D135" s="2"/>
      <c r="E135" s="2"/>
      <c r="F135" s="5"/>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17"/>
      <c r="D136" s="2"/>
      <c r="E136" s="2"/>
      <c r="F136" s="5"/>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5"/>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5"/>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5"/>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5"/>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5"/>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5"/>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5"/>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5"/>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5"/>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5"/>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5"/>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5"/>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5"/>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5"/>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5"/>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5"/>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5"/>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5"/>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5"/>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5"/>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5"/>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5"/>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5"/>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5"/>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5"/>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5"/>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5"/>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5"/>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5"/>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5"/>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5"/>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5"/>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5"/>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5"/>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5"/>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5"/>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5"/>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5"/>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5"/>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5"/>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5"/>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5"/>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5"/>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5"/>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5"/>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5"/>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5"/>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5"/>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5"/>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5"/>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5"/>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5"/>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5"/>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5"/>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5"/>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5"/>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5"/>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5"/>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5"/>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5"/>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5"/>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5"/>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5"/>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5"/>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5"/>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5"/>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5"/>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5"/>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5"/>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5"/>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5"/>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5"/>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5"/>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5"/>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5"/>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5"/>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5"/>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5"/>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5"/>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5"/>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5"/>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5"/>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5"/>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5"/>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5"/>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5"/>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5"/>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5"/>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5"/>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5"/>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5"/>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5"/>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5"/>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5"/>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5"/>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5"/>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5"/>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5"/>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5"/>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5"/>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5"/>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5"/>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5"/>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5"/>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5"/>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5"/>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5"/>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5"/>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5"/>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5"/>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5"/>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5"/>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5"/>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5"/>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5"/>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5"/>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5"/>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5"/>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5"/>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5"/>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5"/>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5"/>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5"/>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5"/>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5"/>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5"/>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5"/>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5"/>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5"/>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5"/>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5"/>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5"/>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5"/>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5"/>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5"/>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5"/>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5"/>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5"/>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5"/>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5"/>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5"/>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5"/>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5"/>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5"/>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5"/>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5"/>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5"/>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5"/>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5"/>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5"/>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5"/>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5"/>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5"/>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5"/>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5"/>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5"/>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5"/>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5"/>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5"/>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5"/>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5"/>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5"/>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5"/>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5"/>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5"/>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5"/>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5"/>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5"/>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5"/>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5"/>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5"/>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5"/>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5"/>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5"/>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5"/>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5"/>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5"/>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5"/>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5"/>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5"/>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5"/>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5"/>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5"/>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5"/>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5"/>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5"/>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5"/>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5"/>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5"/>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5"/>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5"/>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5"/>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5"/>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5"/>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5"/>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5"/>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5"/>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5"/>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5"/>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5"/>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5"/>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5"/>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5"/>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5"/>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5"/>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5"/>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5"/>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5"/>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5"/>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5"/>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5"/>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5"/>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5"/>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5"/>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5"/>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5"/>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5"/>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5"/>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5"/>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5"/>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5"/>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5"/>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5"/>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5"/>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5"/>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5"/>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5"/>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5"/>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5"/>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5"/>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5"/>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5"/>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5"/>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5"/>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5"/>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5"/>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5"/>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5"/>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5"/>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5"/>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5"/>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5"/>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5"/>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5"/>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5"/>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5"/>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5"/>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5"/>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5"/>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5"/>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5"/>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5"/>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5"/>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5"/>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5"/>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5"/>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5"/>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5"/>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5"/>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5"/>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5"/>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5"/>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5"/>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5"/>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5"/>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5"/>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5"/>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5"/>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5"/>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5"/>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5"/>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5"/>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5"/>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5"/>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5"/>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5"/>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5"/>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5"/>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5"/>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5"/>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5"/>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5"/>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5"/>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5"/>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5"/>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5"/>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5"/>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5"/>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5"/>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5"/>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5"/>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5"/>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5"/>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5"/>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5"/>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5"/>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5"/>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5"/>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5"/>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5"/>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5"/>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5"/>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5"/>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5"/>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5"/>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5"/>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5"/>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5"/>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5"/>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5"/>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5"/>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5"/>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5"/>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5"/>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5"/>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5"/>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5"/>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5"/>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5"/>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5"/>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5"/>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5"/>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5"/>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5"/>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5"/>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5"/>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5"/>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5"/>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5"/>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5"/>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5"/>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5"/>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5"/>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5"/>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5"/>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5"/>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5"/>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5"/>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5"/>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5"/>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5"/>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5"/>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5"/>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5"/>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5"/>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5"/>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5"/>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5"/>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5"/>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5"/>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5"/>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5"/>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5"/>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5"/>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5"/>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5"/>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5"/>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5"/>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5"/>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5"/>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5"/>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5"/>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5"/>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5"/>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5"/>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5"/>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5"/>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5"/>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5"/>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5"/>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5"/>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5"/>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5"/>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5"/>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5"/>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5"/>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5"/>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5"/>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5"/>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5"/>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5"/>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5"/>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5"/>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5"/>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5"/>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5"/>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5"/>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5"/>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5"/>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5"/>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5"/>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5"/>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5"/>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5"/>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5"/>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5"/>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5"/>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5"/>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5"/>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5"/>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5"/>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5"/>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5"/>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5"/>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5"/>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5"/>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5"/>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5"/>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5"/>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5"/>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5"/>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5"/>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5"/>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5"/>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5"/>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5"/>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5"/>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5"/>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5"/>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5"/>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5"/>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5"/>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5"/>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5"/>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5"/>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5"/>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5"/>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5"/>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5"/>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5"/>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5"/>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5"/>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5"/>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5"/>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5"/>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5"/>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5"/>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5"/>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5"/>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5"/>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5"/>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5"/>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5"/>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5"/>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5"/>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5"/>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5"/>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5"/>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5"/>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5"/>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5"/>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5"/>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5"/>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5"/>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5"/>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5"/>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5"/>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5"/>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5"/>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5"/>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5"/>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5"/>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5"/>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5"/>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5"/>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5"/>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5"/>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5"/>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5"/>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5"/>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5"/>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5"/>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5"/>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5"/>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5"/>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5"/>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5"/>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5"/>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5"/>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5"/>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5"/>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5"/>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5"/>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5"/>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5"/>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5"/>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5"/>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5"/>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5"/>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5"/>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5"/>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5"/>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5"/>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5"/>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5"/>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5"/>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5"/>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5"/>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5"/>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5"/>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5"/>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5"/>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5"/>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5"/>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5"/>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5"/>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5"/>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5"/>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5"/>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5"/>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5"/>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5"/>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5"/>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5"/>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5"/>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5"/>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5"/>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5"/>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5"/>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5"/>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5"/>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5"/>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5"/>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5"/>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5"/>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5"/>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5"/>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5"/>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5"/>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5"/>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5"/>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5"/>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5"/>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5"/>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5"/>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5"/>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5"/>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5"/>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5"/>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5"/>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5"/>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5"/>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5"/>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5"/>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5"/>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5"/>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5"/>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5"/>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5"/>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5"/>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5"/>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5"/>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5"/>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5"/>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5"/>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5"/>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5"/>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5"/>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5"/>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5"/>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5"/>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5"/>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5"/>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5"/>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5"/>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5"/>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5"/>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5"/>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5"/>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5"/>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5"/>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5"/>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5"/>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5"/>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5"/>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5"/>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5"/>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5"/>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5"/>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5"/>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5"/>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5"/>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5"/>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5"/>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5"/>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5"/>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5"/>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5"/>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5"/>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5"/>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5"/>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5"/>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5"/>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5"/>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5"/>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5"/>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5"/>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5"/>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5"/>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5"/>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5"/>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5"/>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5"/>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5"/>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5"/>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5"/>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5"/>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5"/>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5"/>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5"/>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5"/>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5"/>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5"/>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5"/>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5"/>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5"/>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5"/>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5"/>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5"/>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5"/>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5"/>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5"/>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5"/>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5"/>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5"/>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5"/>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5"/>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5"/>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5"/>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5"/>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5"/>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5"/>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5"/>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5"/>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5"/>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5"/>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5"/>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5"/>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5"/>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5"/>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5"/>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5"/>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5"/>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5"/>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5"/>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5"/>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5"/>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5"/>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5"/>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5"/>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5"/>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5"/>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5"/>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5"/>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5"/>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5"/>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5"/>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5"/>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5"/>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5"/>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5"/>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5"/>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5"/>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5"/>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5"/>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5"/>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5"/>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5"/>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5"/>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5"/>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5"/>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5"/>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5"/>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5"/>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5"/>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5"/>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5"/>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5"/>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5"/>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5"/>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5"/>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5"/>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5"/>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5"/>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5"/>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5"/>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5"/>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5"/>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5"/>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5"/>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5"/>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5"/>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5"/>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5"/>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5"/>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5"/>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5"/>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5"/>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5"/>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5"/>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5"/>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5"/>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5"/>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5"/>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5"/>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5"/>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5"/>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5"/>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5"/>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5"/>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5"/>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5"/>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5"/>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5"/>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5"/>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5"/>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5"/>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5"/>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5"/>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5"/>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5"/>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5"/>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5"/>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5"/>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5"/>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5"/>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5"/>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5"/>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5"/>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5"/>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5"/>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5"/>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5"/>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5"/>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5"/>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5"/>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5"/>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5"/>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5"/>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5"/>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5"/>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5"/>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5"/>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5"/>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5"/>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5"/>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5"/>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5"/>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5"/>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5"/>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5"/>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5"/>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5"/>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5"/>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5"/>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5"/>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5"/>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5"/>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5"/>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5"/>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5"/>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5"/>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5"/>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5"/>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5"/>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5"/>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5"/>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5"/>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5"/>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5"/>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5"/>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5"/>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5"/>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5"/>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5"/>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5"/>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5"/>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5"/>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5"/>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5"/>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5"/>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5"/>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5"/>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5"/>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5"/>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5"/>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5"/>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5"/>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5"/>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5"/>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5"/>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5"/>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5"/>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5"/>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5"/>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5"/>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5"/>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5"/>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5"/>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5"/>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5"/>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5"/>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5"/>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5"/>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5"/>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5"/>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5"/>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5"/>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5"/>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5"/>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5"/>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5"/>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5"/>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5"/>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5"/>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5"/>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5"/>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5"/>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5"/>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5"/>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5"/>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5"/>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5"/>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5"/>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5"/>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5"/>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5"/>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5"/>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5"/>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5"/>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5"/>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5"/>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5"/>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5"/>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5"/>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5"/>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5"/>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5"/>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5"/>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5"/>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5"/>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5"/>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5"/>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5"/>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5"/>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5"/>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5"/>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5"/>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5"/>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5"/>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5"/>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5"/>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5"/>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5"/>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5"/>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5"/>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5"/>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5"/>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5"/>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5"/>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5"/>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5"/>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5"/>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5"/>
      <c r="G1000" s="2"/>
      <c r="H1000" s="2"/>
      <c r="I1000" s="2"/>
      <c r="J1000" s="2"/>
      <c r="K1000" s="2"/>
      <c r="L1000" s="2"/>
      <c r="M1000" s="2"/>
      <c r="N1000" s="2"/>
      <c r="O1000" s="2"/>
      <c r="P1000" s="2"/>
      <c r="Q1000" s="2"/>
      <c r="R1000" s="2"/>
      <c r="S1000" s="2"/>
      <c r="T1000" s="2"/>
      <c r="U1000" s="2"/>
      <c r="V1000" s="2"/>
      <c r="W1000" s="2"/>
      <c r="X1000" s="2"/>
      <c r="Y1000" s="2"/>
      <c r="Z1000" s="2"/>
    </row>
  </sheetData>
  <mergeCells count="3">
    <mergeCell ref="B2:H2"/>
    <mergeCell ref="C4:H4"/>
    <mergeCell ref="C5:H5"/>
  </mergeCells>
  <dataValidations>
    <dataValidation type="list" allowBlank="1" showErrorMessage="1" sqref="C4">
      <formula1>Metadata!$A$2:$A$81</formula1>
    </dataValidation>
    <dataValidation type="list" allowBlank="1" showErrorMessage="1" sqref="C9:C108">
      <formula1>Metadata!$B$2:$B$12</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75"/>
    <col customWidth="1" min="7" max="7" width="14.88"/>
  </cols>
  <sheetData>
    <row r="1" ht="15.75" customHeight="1"/>
    <row r="2" ht="15.75" customHeight="1">
      <c r="B2" s="11" t="s">
        <v>3</v>
      </c>
    </row>
    <row r="3" ht="15.75" customHeight="1"/>
    <row r="4" ht="15.75" customHeight="1">
      <c r="B4" s="12" t="s">
        <v>1</v>
      </c>
      <c r="C4" s="25" t="str">
        <f>'Diseño'!C4</f>
        <v>781 - Organización de Lenguajes y Compiladores 2</v>
      </c>
      <c r="D4" s="27"/>
      <c r="E4" s="27"/>
      <c r="F4" s="27"/>
      <c r="G4" s="29"/>
    </row>
    <row r="5" ht="15.75" customHeight="1">
      <c r="B5" s="32" t="s">
        <v>22</v>
      </c>
      <c r="C5" s="25">
        <v>1.0</v>
      </c>
      <c r="D5" s="27"/>
      <c r="E5" s="27"/>
      <c r="F5" s="27"/>
      <c r="G5" s="29"/>
    </row>
    <row r="6" ht="15.75" customHeight="1">
      <c r="B6" s="32" t="s">
        <v>28</v>
      </c>
      <c r="C6" s="25">
        <f>B15+B22+B29+B42+B57+C58+B36</f>
        <v>100</v>
      </c>
      <c r="D6" s="27"/>
      <c r="E6" s="27"/>
      <c r="F6" s="27"/>
      <c r="G6" s="29"/>
    </row>
    <row r="7" ht="15.75" customHeight="1"/>
    <row r="8" ht="15.75" customHeight="1">
      <c r="K8" s="26" t="s">
        <v>32</v>
      </c>
    </row>
    <row r="9" ht="15.75" customHeight="1">
      <c r="A9" s="40" t="s">
        <v>35</v>
      </c>
      <c r="G9" s="42" t="s">
        <v>39</v>
      </c>
      <c r="H9" s="44">
        <v>15.0</v>
      </c>
    </row>
    <row r="10" ht="15.75" customHeight="1">
      <c r="G10" s="46" t="s">
        <v>44</v>
      </c>
    </row>
    <row r="11" ht="24.75" customHeight="1">
      <c r="A11" s="49" t="s">
        <v>47</v>
      </c>
      <c r="B11" s="39" t="s">
        <v>55</v>
      </c>
      <c r="C11" s="27"/>
      <c r="D11" s="27"/>
      <c r="E11" s="27"/>
      <c r="F11" s="27"/>
      <c r="G11" s="27"/>
      <c r="H11" s="29"/>
    </row>
    <row r="12">
      <c r="A12" s="49" t="s">
        <v>60</v>
      </c>
      <c r="B12" s="53"/>
      <c r="C12" s="27"/>
      <c r="D12" s="27"/>
      <c r="E12" s="27"/>
      <c r="F12" s="27"/>
      <c r="G12" s="27"/>
      <c r="H12" s="29"/>
    </row>
    <row r="13">
      <c r="A13" s="57" t="s">
        <v>64</v>
      </c>
      <c r="B13" s="60" t="s">
        <v>74</v>
      </c>
      <c r="C13" s="27"/>
      <c r="D13" s="27"/>
      <c r="E13" s="27"/>
      <c r="F13" s="27"/>
      <c r="G13" s="27"/>
      <c r="H13" s="29"/>
    </row>
    <row r="14">
      <c r="A14" s="57" t="s">
        <v>81</v>
      </c>
      <c r="B14" s="25"/>
      <c r="C14" s="27"/>
      <c r="D14" s="27"/>
      <c r="E14" s="27"/>
      <c r="F14" s="27"/>
      <c r="G14" s="27"/>
      <c r="H14" s="29"/>
    </row>
    <row r="15" ht="15.75" customHeight="1">
      <c r="A15" s="65" t="s">
        <v>82</v>
      </c>
      <c r="B15" s="60">
        <v>15.0</v>
      </c>
      <c r="C15" s="27"/>
      <c r="D15" s="27"/>
      <c r="E15" s="27"/>
      <c r="F15" s="27"/>
      <c r="G15" s="27"/>
      <c r="H15" s="29"/>
    </row>
    <row r="16" ht="15.75" customHeight="1"/>
    <row r="17" ht="15.75" customHeight="1"/>
    <row r="18" ht="15.75" customHeight="1">
      <c r="A18" s="69" t="s">
        <v>90</v>
      </c>
      <c r="G18" s="42" t="s">
        <v>39</v>
      </c>
      <c r="H18" s="72">
        <f>B22</f>
        <v>15</v>
      </c>
    </row>
    <row r="19" ht="15.75" customHeight="1">
      <c r="G19" s="46" t="s">
        <v>44</v>
      </c>
      <c r="K19" s="26" t="s">
        <v>102</v>
      </c>
    </row>
    <row r="20">
      <c r="A20" s="49" t="s">
        <v>104</v>
      </c>
      <c r="B20" s="39" t="s">
        <v>106</v>
      </c>
      <c r="C20" s="27"/>
      <c r="D20" s="27"/>
      <c r="E20" s="27"/>
      <c r="F20" s="27"/>
      <c r="G20" s="27"/>
      <c r="H20" s="29"/>
    </row>
    <row r="21">
      <c r="A21" s="49" t="s">
        <v>108</v>
      </c>
      <c r="B21" s="53"/>
      <c r="C21" s="27"/>
      <c r="D21" s="27"/>
      <c r="E21" s="27"/>
      <c r="F21" s="27"/>
      <c r="G21" s="27"/>
      <c r="H21" s="29"/>
    </row>
    <row r="22">
      <c r="A22" s="65" t="s">
        <v>82</v>
      </c>
      <c r="B22" s="60">
        <v>15.0</v>
      </c>
      <c r="C22" s="27"/>
      <c r="D22" s="27"/>
      <c r="E22" s="27"/>
      <c r="F22" s="27"/>
      <c r="G22" s="27"/>
      <c r="H22" s="29"/>
    </row>
    <row r="23" ht="15.75" customHeight="1"/>
    <row r="24" ht="15.75" customHeight="1"/>
    <row r="25" ht="15.75" customHeight="1">
      <c r="A25" s="69" t="s">
        <v>115</v>
      </c>
      <c r="G25" s="79" t="s">
        <v>39</v>
      </c>
      <c r="H25" s="72">
        <f>B29</f>
        <v>15</v>
      </c>
    </row>
    <row r="26" ht="15.75" customHeight="1">
      <c r="G26" s="46" t="s">
        <v>117</v>
      </c>
      <c r="H26" s="84"/>
      <c r="I26" s="84"/>
      <c r="J26" s="84"/>
    </row>
    <row r="27" ht="39.75" customHeight="1">
      <c r="A27" s="49" t="s">
        <v>122</v>
      </c>
      <c r="B27" s="39" t="s">
        <v>124</v>
      </c>
      <c r="C27" s="27"/>
      <c r="D27" s="27"/>
      <c r="E27" s="27"/>
      <c r="F27" s="27"/>
      <c r="G27" s="27"/>
      <c r="H27" s="29"/>
      <c r="K27" s="26" t="s">
        <v>126</v>
      </c>
    </row>
    <row r="28" ht="69.75" customHeight="1">
      <c r="A28" s="49" t="s">
        <v>128</v>
      </c>
      <c r="B28" s="53"/>
      <c r="C28" s="27"/>
      <c r="D28" s="27"/>
      <c r="E28" s="27"/>
      <c r="F28" s="27"/>
      <c r="G28" s="27"/>
      <c r="H28" s="29"/>
    </row>
    <row r="29" ht="15.75" customHeight="1">
      <c r="A29" s="65" t="s">
        <v>82</v>
      </c>
      <c r="B29" s="60">
        <v>15.0</v>
      </c>
      <c r="C29" s="27"/>
      <c r="D29" s="27"/>
      <c r="E29" s="27"/>
      <c r="F29" s="27"/>
      <c r="G29" s="27"/>
      <c r="H29" s="29"/>
    </row>
    <row r="30" ht="15.75" customHeight="1"/>
    <row r="31" ht="15.75" customHeight="1"/>
    <row r="32" ht="15.75" customHeight="1">
      <c r="A32" s="69" t="s">
        <v>134</v>
      </c>
      <c r="G32" s="79" t="s">
        <v>39</v>
      </c>
      <c r="H32" s="72">
        <f>B36</f>
        <v>5</v>
      </c>
    </row>
    <row r="33" ht="15.75" customHeight="1">
      <c r="A33" s="90" t="s">
        <v>139</v>
      </c>
      <c r="G33" s="90" t="s">
        <v>143</v>
      </c>
    </row>
    <row r="34">
      <c r="A34" s="49" t="s">
        <v>146</v>
      </c>
      <c r="B34" s="39" t="s">
        <v>148</v>
      </c>
      <c r="C34" s="27"/>
      <c r="D34" s="27"/>
      <c r="E34" s="27"/>
      <c r="F34" s="27"/>
      <c r="G34" s="27"/>
      <c r="H34" s="29"/>
      <c r="K34" s="26" t="s">
        <v>151</v>
      </c>
    </row>
    <row r="35">
      <c r="A35" s="49" t="s">
        <v>152</v>
      </c>
      <c r="B35" s="53"/>
      <c r="C35" s="27"/>
      <c r="D35" s="27"/>
      <c r="E35" s="27"/>
      <c r="F35" s="27"/>
      <c r="G35" s="27"/>
      <c r="H35" s="29"/>
    </row>
    <row r="36" ht="15.75" customHeight="1">
      <c r="A36" s="65" t="s">
        <v>82</v>
      </c>
      <c r="B36" s="60">
        <v>5.0</v>
      </c>
      <c r="C36" s="27"/>
      <c r="D36" s="27"/>
      <c r="E36" s="27"/>
      <c r="F36" s="27"/>
      <c r="G36" s="27"/>
      <c r="H36" s="29"/>
    </row>
    <row r="37" ht="15.75" customHeight="1"/>
    <row r="38" ht="15.75" customHeight="1"/>
    <row r="39" ht="15.75" customHeight="1">
      <c r="A39" s="69" t="s">
        <v>154</v>
      </c>
      <c r="G39" s="79" t="s">
        <v>39</v>
      </c>
      <c r="H39" s="72">
        <f>B42</f>
        <v>35</v>
      </c>
    </row>
    <row r="40" ht="15.75" customHeight="1">
      <c r="G40" s="84" t="s">
        <v>155</v>
      </c>
    </row>
    <row r="41">
      <c r="A41" s="94" t="s">
        <v>156</v>
      </c>
      <c r="B41" s="95" t="s">
        <v>158</v>
      </c>
      <c r="C41" s="27"/>
      <c r="D41" s="27"/>
      <c r="E41" s="27"/>
      <c r="F41" s="27"/>
      <c r="G41" s="27"/>
      <c r="H41" s="29"/>
    </row>
    <row r="42" ht="15.75" customHeight="1">
      <c r="A42" s="65" t="s">
        <v>82</v>
      </c>
      <c r="B42" s="60">
        <v>35.0</v>
      </c>
      <c r="C42" s="27"/>
      <c r="D42" s="27"/>
      <c r="E42" s="27"/>
      <c r="F42" s="27"/>
      <c r="G42" s="27"/>
      <c r="H42" s="29"/>
    </row>
    <row r="43" ht="15.75" customHeight="1"/>
    <row r="44" ht="15.75" customHeight="1">
      <c r="A44" s="96" t="s">
        <v>161</v>
      </c>
      <c r="B44" s="16"/>
      <c r="C44" s="16"/>
      <c r="D44" s="16"/>
      <c r="K44" s="26"/>
      <c r="L44" s="26"/>
      <c r="M44" s="26"/>
      <c r="N44" s="26"/>
    </row>
    <row r="45" ht="15.75" customHeight="1">
      <c r="A45" s="97" t="s">
        <v>16</v>
      </c>
      <c r="B45" s="98" t="s">
        <v>164</v>
      </c>
      <c r="C45" s="29"/>
      <c r="D45" s="98" t="s">
        <v>168</v>
      </c>
      <c r="E45" s="29"/>
      <c r="F45" s="98" t="s">
        <v>169</v>
      </c>
      <c r="G45" s="27"/>
      <c r="H45" s="29"/>
      <c r="K45" s="26"/>
      <c r="L45" s="26"/>
      <c r="M45" s="26"/>
      <c r="N45" s="26"/>
    </row>
    <row r="46" ht="15.75" customHeight="1">
      <c r="A46" s="32">
        <v>1.0</v>
      </c>
      <c r="B46" s="25">
        <f>IFERROR(__xludf.DUMMYFUNCTION("FILTER('Diseño'!D:D,'Diseño'!H:H=$C$5)"),1.0)</f>
        <v>1</v>
      </c>
      <c r="C46" s="29"/>
      <c r="D46" s="25" t="str">
        <f>IFERROR(__xludf.DUMMYFUNCTION("FILTER('Diseño'!E:E,'Diseño'!H:H=$C$5)"),"Visión General del Curso")</f>
        <v>Visión General del Curso</v>
      </c>
      <c r="E46" s="29"/>
      <c r="F46" s="25" t="str">
        <f>IFERROR(__xludf.DUMMYFUNCTION("FILTER('Diseño'!F:F,'Diseño'!H:H=$C$5)"),"Motivaciones para estudiar compiladores")</f>
        <v>Motivaciones para estudiar compiladores</v>
      </c>
      <c r="G46" s="27"/>
      <c r="H46" s="29"/>
      <c r="K46" s="26"/>
      <c r="L46" s="26"/>
      <c r="M46" s="26"/>
      <c r="N46" s="26"/>
    </row>
    <row r="47" ht="15.75" customHeight="1">
      <c r="A47" s="32">
        <v>2.0</v>
      </c>
      <c r="B47" s="25">
        <f>IFERROR(__xludf.DUMMYFUNCTION("""COMPUTED_VALUE"""),1.0)</f>
        <v>1</v>
      </c>
      <c r="C47" s="29"/>
      <c r="D47" s="25" t="str">
        <f>IFERROR(__xludf.DUMMYFUNCTION("""COMPUTED_VALUE"""),"Visión General del Curso")</f>
        <v>Visión General del Curso</v>
      </c>
      <c r="E47" s="29"/>
      <c r="F47" s="25" t="str">
        <f>IFERROR(__xludf.DUMMYFUNCTION("""COMPUTED_VALUE"""),"Breve Historia del Compilador")</f>
        <v>Breve Historia del Compilador</v>
      </c>
      <c r="G47" s="27"/>
      <c r="H47" s="29"/>
      <c r="K47" s="26"/>
      <c r="L47" s="26"/>
      <c r="M47" s="26"/>
      <c r="N47" s="26"/>
    </row>
    <row r="48" ht="15.75" customHeight="1">
      <c r="A48" s="32">
        <v>3.0</v>
      </c>
      <c r="B48" s="25">
        <f>IFERROR(__xludf.DUMMYFUNCTION("""COMPUTED_VALUE"""),1.0)</f>
        <v>1</v>
      </c>
      <c r="C48" s="29"/>
      <c r="D48" s="25" t="str">
        <f>IFERROR(__xludf.DUMMYFUNCTION("""COMPUTED_VALUE"""),"Visión General del Curso")</f>
        <v>Visión General del Curso</v>
      </c>
      <c r="E48" s="29"/>
      <c r="F48" s="25" t="str">
        <f>IFERROR(__xludf.DUMMYFUNCTION("""COMPUTED_VALUE"""),"Estructura de un Compilador")</f>
        <v>Estructura de un Compilador</v>
      </c>
      <c r="G48" s="27"/>
      <c r="H48" s="29"/>
      <c r="K48" s="26"/>
      <c r="L48" s="26"/>
      <c r="M48" s="26"/>
      <c r="N48" s="26"/>
    </row>
    <row r="49" ht="15.75" customHeight="1">
      <c r="A49" s="32">
        <v>4.0</v>
      </c>
      <c r="B49" s="25">
        <f>IFERROR(__xludf.DUMMYFUNCTION("""COMPUTED_VALUE"""),1.0)</f>
        <v>1</v>
      </c>
      <c r="C49" s="29"/>
      <c r="D49" s="25" t="str">
        <f>IFERROR(__xludf.DUMMYFUNCTION("""COMPUTED_VALUE"""),"Visión General del Curso")</f>
        <v>Visión General del Curso</v>
      </c>
      <c r="E49" s="29"/>
      <c r="F49" s="25" t="str">
        <f>IFERROR(__xludf.DUMMYFUNCTION("""COMPUTED_VALUE"""),"Repaso Análisis Sintáctico")</f>
        <v>Repaso Análisis Sintáctico</v>
      </c>
      <c r="G49" s="27"/>
      <c r="H49" s="29"/>
      <c r="K49" s="26"/>
      <c r="L49" s="26"/>
      <c r="M49" s="26"/>
      <c r="N49" s="26"/>
    </row>
    <row r="50" ht="15.75" customHeight="1">
      <c r="A50" s="32">
        <v>5.0</v>
      </c>
      <c r="B50" s="25"/>
      <c r="C50" s="29"/>
      <c r="D50" s="25"/>
      <c r="E50" s="29"/>
      <c r="F50" s="25"/>
      <c r="G50" s="27"/>
      <c r="H50" s="29"/>
      <c r="K50" s="26"/>
      <c r="L50" s="26"/>
      <c r="M50" s="26"/>
      <c r="N50" s="26"/>
    </row>
    <row r="51" ht="15.75" customHeight="1">
      <c r="A51" s="32">
        <v>6.0</v>
      </c>
      <c r="B51" s="25"/>
      <c r="C51" s="29"/>
      <c r="D51" s="25"/>
      <c r="E51" s="29"/>
      <c r="F51" s="25"/>
      <c r="G51" s="27"/>
      <c r="H51" s="29"/>
      <c r="K51" s="26"/>
      <c r="L51" s="26"/>
      <c r="M51" s="26"/>
      <c r="N51" s="26"/>
    </row>
    <row r="52" ht="15.75" customHeight="1">
      <c r="A52" s="32">
        <v>7.0</v>
      </c>
      <c r="B52" s="25"/>
      <c r="C52" s="29"/>
      <c r="D52" s="25"/>
      <c r="E52" s="29"/>
      <c r="F52" s="25"/>
      <c r="G52" s="27"/>
      <c r="H52" s="29"/>
      <c r="K52" s="26"/>
      <c r="L52" s="26"/>
      <c r="M52" s="26"/>
      <c r="N52" s="26"/>
    </row>
    <row r="53" ht="15.75" customHeight="1"/>
    <row r="54" ht="15.75" customHeight="1">
      <c r="A54" s="69" t="s">
        <v>182</v>
      </c>
      <c r="G54" s="79" t="s">
        <v>39</v>
      </c>
      <c r="H54" s="72">
        <f>B57</f>
        <v>15</v>
      </c>
    </row>
    <row r="55" ht="15.75" customHeight="1">
      <c r="G55" s="84" t="s">
        <v>44</v>
      </c>
    </row>
    <row r="56">
      <c r="A56" s="49" t="s">
        <v>183</v>
      </c>
      <c r="B56" s="39" t="s">
        <v>184</v>
      </c>
      <c r="C56" s="27"/>
      <c r="D56" s="27"/>
      <c r="E56" s="27"/>
      <c r="F56" s="27"/>
      <c r="G56" s="27"/>
      <c r="H56" s="29"/>
    </row>
    <row r="57" ht="15.75" customHeight="1">
      <c r="A57" s="65" t="s">
        <v>82</v>
      </c>
      <c r="B57" s="60">
        <v>15.0</v>
      </c>
      <c r="C57" s="27"/>
      <c r="D57" s="27"/>
      <c r="E57" s="27"/>
      <c r="F57" s="27"/>
      <c r="G57" s="27"/>
      <c r="H57" s="29"/>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62">
    <mergeCell ref="B41:H41"/>
    <mergeCell ref="B42:H42"/>
    <mergeCell ref="B45:C45"/>
    <mergeCell ref="D45:E45"/>
    <mergeCell ref="F45:H45"/>
    <mergeCell ref="D46:E46"/>
    <mergeCell ref="F46:H46"/>
    <mergeCell ref="B46:C46"/>
    <mergeCell ref="B47:C47"/>
    <mergeCell ref="D47:E47"/>
    <mergeCell ref="F47:H47"/>
    <mergeCell ref="B48:C48"/>
    <mergeCell ref="D48:E48"/>
    <mergeCell ref="F48:H48"/>
    <mergeCell ref="D51:E51"/>
    <mergeCell ref="F51:H51"/>
    <mergeCell ref="A54:F54"/>
    <mergeCell ref="G55:I55"/>
    <mergeCell ref="B56:H56"/>
    <mergeCell ref="B57:H57"/>
    <mergeCell ref="B49:C49"/>
    <mergeCell ref="D49:E49"/>
    <mergeCell ref="F49:H49"/>
    <mergeCell ref="B50:C50"/>
    <mergeCell ref="D50:E50"/>
    <mergeCell ref="F50:H50"/>
    <mergeCell ref="B51:C51"/>
    <mergeCell ref="B11:H11"/>
    <mergeCell ref="B12:H12"/>
    <mergeCell ref="B13:H13"/>
    <mergeCell ref="B14:H14"/>
    <mergeCell ref="A1:A6"/>
    <mergeCell ref="C4:G4"/>
    <mergeCell ref="C5:G5"/>
    <mergeCell ref="C6:G6"/>
    <mergeCell ref="K8:N17"/>
    <mergeCell ref="A9:F9"/>
    <mergeCell ref="G10:I10"/>
    <mergeCell ref="B15:H15"/>
    <mergeCell ref="A18:F18"/>
    <mergeCell ref="G19:I19"/>
    <mergeCell ref="K19:N25"/>
    <mergeCell ref="B20:H20"/>
    <mergeCell ref="B21:H21"/>
    <mergeCell ref="B22:H22"/>
    <mergeCell ref="A25:F25"/>
    <mergeCell ref="B27:H27"/>
    <mergeCell ref="K27:N31"/>
    <mergeCell ref="B28:H28"/>
    <mergeCell ref="B29:H29"/>
    <mergeCell ref="A32:F32"/>
    <mergeCell ref="G33:M33"/>
    <mergeCell ref="A33:F33"/>
    <mergeCell ref="B34:H34"/>
    <mergeCell ref="K34:N43"/>
    <mergeCell ref="B35:H35"/>
    <mergeCell ref="B36:H36"/>
    <mergeCell ref="A39:F39"/>
    <mergeCell ref="G40:I40"/>
    <mergeCell ref="B52:C52"/>
    <mergeCell ref="D52:E52"/>
    <mergeCell ref="F52:H52"/>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7" t="s">
        <v>188</v>
      </c>
    </row>
    <row r="3" ht="15.75" customHeight="1"/>
    <row r="4" ht="15.75" customHeight="1">
      <c r="B4" s="12" t="s">
        <v>1</v>
      </c>
      <c r="C4" s="107" t="str">
        <f>'Diseño'!C4</f>
        <v>781 - Organización de Lenguajes y Compiladores 2</v>
      </c>
      <c r="D4" s="27"/>
      <c r="E4" s="27"/>
      <c r="F4" s="27"/>
      <c r="G4" s="29"/>
    </row>
    <row r="5" ht="15.75" customHeight="1">
      <c r="B5" s="32" t="s">
        <v>22</v>
      </c>
      <c r="C5" s="25">
        <v>2.0</v>
      </c>
      <c r="D5" s="27"/>
      <c r="E5" s="27"/>
      <c r="F5" s="27"/>
      <c r="G5" s="29"/>
    </row>
    <row r="6" ht="15.75" customHeight="1">
      <c r="B6" s="108" t="s">
        <v>28</v>
      </c>
      <c r="C6" s="25">
        <f>H10+H21+H44+H71</f>
        <v>100</v>
      </c>
      <c r="D6" s="27"/>
      <c r="E6" s="27"/>
      <c r="F6" s="27"/>
      <c r="G6" s="29"/>
      <c r="I6" s="16"/>
    </row>
    <row r="7" ht="15.75" customHeight="1">
      <c r="B7" s="108" t="s">
        <v>189</v>
      </c>
      <c r="C7" s="109">
        <f>B49+B63</f>
        <v>0</v>
      </c>
      <c r="D7" s="27"/>
      <c r="E7" s="27"/>
      <c r="F7" s="27"/>
      <c r="G7" s="29"/>
    </row>
    <row r="8">
      <c r="B8" s="108" t="s">
        <v>190</v>
      </c>
      <c r="C8" s="110" t="str">
        <f>IF(H44&lt;=0, "❌ ERROR: La Actividad 1 debe tener un tiempo mayor a 0.", IF(H21&gt;60, "❌ ERROR: El 'Área de Conocimiento' no puede exceder los 60 min.", IF(C6&lt;100, "❌ ERROR: El tiempo total debe ser de al menos 100 min.", "✅ VALIDACIÓN CORRECTA")))</f>
        <v>✅ VALIDACIÓN CORRECTA</v>
      </c>
      <c r="D8" s="27"/>
      <c r="E8" s="27"/>
      <c r="F8" s="27"/>
      <c r="G8" s="29"/>
      <c r="I8" s="16"/>
      <c r="J8" s="16"/>
      <c r="K8" s="16"/>
    </row>
    <row r="9" ht="15.75" customHeight="1"/>
    <row r="10" ht="15.75" customHeight="1">
      <c r="A10" s="111" t="s">
        <v>191</v>
      </c>
      <c r="G10" s="79" t="s">
        <v>39</v>
      </c>
      <c r="H10" s="112">
        <f>B13</f>
        <v>5</v>
      </c>
    </row>
    <row r="11" ht="15.75" customHeight="1">
      <c r="G11" s="46" t="s">
        <v>192</v>
      </c>
    </row>
    <row r="12" ht="15.75" customHeight="1">
      <c r="A12" s="57" t="s">
        <v>193</v>
      </c>
      <c r="B12" s="60" t="s">
        <v>194</v>
      </c>
      <c r="C12" s="27"/>
      <c r="D12" s="27"/>
      <c r="E12" s="27"/>
      <c r="F12" s="27"/>
      <c r="G12" s="27"/>
      <c r="H12" s="29"/>
    </row>
    <row r="13" ht="15.75" customHeight="1">
      <c r="A13" s="65" t="s">
        <v>39</v>
      </c>
      <c r="B13" s="60">
        <v>5.0</v>
      </c>
      <c r="C13" s="27"/>
      <c r="D13" s="27"/>
      <c r="E13" s="27"/>
      <c r="F13" s="27"/>
      <c r="G13" s="27"/>
      <c r="H13" s="29"/>
    </row>
    <row r="14" ht="15.75" customHeight="1">
      <c r="A14" s="113" t="s">
        <v>195</v>
      </c>
      <c r="B14" s="27"/>
      <c r="C14" s="27"/>
      <c r="D14" s="27"/>
      <c r="E14" s="27"/>
      <c r="F14" s="27"/>
      <c r="G14" s="27"/>
      <c r="H14" s="29"/>
    </row>
    <row r="15" ht="15.75" customHeight="1">
      <c r="A15" s="114" t="s">
        <v>196</v>
      </c>
      <c r="B15" s="102"/>
      <c r="C15" s="102"/>
      <c r="D15" s="102"/>
      <c r="E15" s="102"/>
      <c r="F15" s="102"/>
      <c r="G15" s="102"/>
      <c r="H15" s="103"/>
    </row>
    <row r="16" ht="24.75" customHeight="1">
      <c r="A16" s="104"/>
      <c r="B16" s="105"/>
      <c r="C16" s="105"/>
      <c r="D16" s="105"/>
      <c r="E16" s="105"/>
      <c r="F16" s="105"/>
      <c r="G16" s="105"/>
      <c r="H16" s="106"/>
    </row>
    <row r="17" ht="15.75" customHeight="1">
      <c r="A17" s="113" t="s">
        <v>197</v>
      </c>
      <c r="B17" s="27"/>
      <c r="C17" s="27"/>
      <c r="D17" s="27"/>
      <c r="E17" s="27"/>
      <c r="F17" s="27"/>
      <c r="G17" s="27"/>
      <c r="H17" s="29"/>
    </row>
    <row r="18" ht="15.75" customHeight="1">
      <c r="A18" s="114" t="s">
        <v>198</v>
      </c>
      <c r="B18" s="102"/>
      <c r="C18" s="102"/>
      <c r="D18" s="102"/>
      <c r="E18" s="102"/>
      <c r="F18" s="102"/>
      <c r="G18" s="102"/>
      <c r="H18" s="103"/>
    </row>
    <row r="19" ht="15.75" customHeight="1">
      <c r="A19" s="104"/>
      <c r="B19" s="105"/>
      <c r="C19" s="105"/>
      <c r="D19" s="105"/>
      <c r="E19" s="105"/>
      <c r="F19" s="105"/>
      <c r="G19" s="105"/>
      <c r="H19" s="106"/>
    </row>
    <row r="20" ht="15.75" customHeight="1"/>
    <row r="21" ht="15.75" customHeight="1">
      <c r="A21" s="111" t="s">
        <v>199</v>
      </c>
      <c r="G21" s="79" t="s">
        <v>39</v>
      </c>
      <c r="H21" s="115">
        <f>SUM(D39:H42)</f>
        <v>60</v>
      </c>
      <c r="I21" s="16"/>
    </row>
    <row r="22" ht="15.75" customHeight="1">
      <c r="G22" s="84" t="s">
        <v>200</v>
      </c>
    </row>
    <row r="23" ht="15.75" customHeight="1">
      <c r="A23" s="57" t="s">
        <v>201</v>
      </c>
      <c r="B23" s="60" t="s">
        <v>37</v>
      </c>
      <c r="C23" s="27"/>
      <c r="D23" s="27"/>
      <c r="E23" s="27"/>
      <c r="F23" s="27"/>
      <c r="G23" s="27"/>
      <c r="H23" s="29"/>
    </row>
    <row r="24" ht="15.75" customHeight="1">
      <c r="A24" s="57" t="s">
        <v>201</v>
      </c>
      <c r="B24" s="25"/>
      <c r="C24" s="27"/>
      <c r="D24" s="27"/>
      <c r="E24" s="27"/>
      <c r="F24" s="27"/>
      <c r="G24" s="27"/>
      <c r="H24" s="29"/>
    </row>
    <row r="25" ht="15.75" customHeight="1"/>
    <row r="26" ht="15.75" customHeight="1">
      <c r="A26" s="116" t="s">
        <v>205</v>
      </c>
      <c r="B26" s="16"/>
      <c r="C26" s="16"/>
      <c r="D26" s="16"/>
    </row>
    <row r="27" ht="15.75" customHeight="1">
      <c r="A27" s="97" t="s">
        <v>16</v>
      </c>
      <c r="B27" s="98" t="s">
        <v>164</v>
      </c>
      <c r="C27" s="29"/>
      <c r="D27" s="98" t="s">
        <v>168</v>
      </c>
      <c r="E27" s="29"/>
      <c r="F27" s="98" t="s">
        <v>169</v>
      </c>
      <c r="G27" s="27"/>
      <c r="H27" s="29"/>
    </row>
    <row r="28" ht="15.75" customHeight="1">
      <c r="A28" s="32">
        <v>1.0</v>
      </c>
      <c r="B28" s="25">
        <f>IFERROR(__xludf.DUMMYFUNCTION("FILTER('Diseño'!D:D,'Diseño'!H:H=$C$5)"),1.0)</f>
        <v>1</v>
      </c>
      <c r="C28" s="29"/>
      <c r="D28" s="25" t="str">
        <f>IFERROR(__xludf.DUMMYFUNCTION("FILTER('Diseño'!E:E,'Diseño'!H:H=$C$5)"),"Análisis Sintáctico")</f>
        <v>Análisis Sintáctico</v>
      </c>
      <c r="E28" s="29"/>
      <c r="F28" s="25" t="str">
        <f>IFERROR(__xludf.DUMMYFUNCTION("FILTER('Diseño'!F:F,'Diseño'!H:H=$C$5)"),"Análisis Descendente")</f>
        <v>Análisis Descendente</v>
      </c>
      <c r="G28" s="27"/>
      <c r="H28" s="29"/>
    </row>
    <row r="29" ht="15.75" customHeight="1">
      <c r="A29" s="32">
        <v>2.0</v>
      </c>
      <c r="B29" s="25">
        <f>IFERROR(__xludf.DUMMYFUNCTION("""COMPUTED_VALUE"""),1.0)</f>
        <v>1</v>
      </c>
      <c r="C29" s="29"/>
      <c r="D29" s="25" t="str">
        <f>IFERROR(__xludf.DUMMYFUNCTION("""COMPUTED_VALUE"""),"Análisis Sintáctico")</f>
        <v>Análisis Sintáctico</v>
      </c>
      <c r="E29" s="29"/>
      <c r="F29" s="25" t="str">
        <f>IFERROR(__xludf.DUMMYFUNCTION("""COMPUTED_VALUE"""),"Análisis Ascendente")</f>
        <v>Análisis Ascendente</v>
      </c>
      <c r="G29" s="27"/>
      <c r="H29" s="29"/>
    </row>
    <row r="30" ht="15.75" customHeight="1">
      <c r="A30" s="32">
        <v>3.0</v>
      </c>
      <c r="B30" s="25">
        <f>IFERROR(__xludf.DUMMYFUNCTION("""COMPUTED_VALUE"""),1.0)</f>
        <v>1</v>
      </c>
      <c r="C30" s="29"/>
      <c r="D30" s="25" t="str">
        <f>IFERROR(__xludf.DUMMYFUNCTION("""COMPUTED_VALUE"""),"Análisis Sintáctico")</f>
        <v>Análisis Sintáctico</v>
      </c>
      <c r="E30" s="29"/>
      <c r="F30" s="25" t="str">
        <f>IFERROR(__xludf.DUMMYFUNCTION("""COMPUTED_VALUE"""),"Resolución de ambigüedades sintácticas")</f>
        <v>Resolución de ambigüedades sintácticas</v>
      </c>
      <c r="G30" s="27"/>
      <c r="H30" s="29"/>
    </row>
    <row r="31" ht="15.75" customHeight="1">
      <c r="A31" s="32">
        <v>4.0</v>
      </c>
      <c r="B31" s="25">
        <f>IFERROR(__xludf.DUMMYFUNCTION("""COMPUTED_VALUE"""),1.0)</f>
        <v>1</v>
      </c>
      <c r="C31" s="29"/>
      <c r="D31" s="25" t="str">
        <f>IFERROR(__xludf.DUMMYFUNCTION("""COMPUTED_VALUE"""),"Análisis Sintáctico")</f>
        <v>Análisis Sintáctico</v>
      </c>
      <c r="E31" s="29"/>
      <c r="F31" s="25" t="str">
        <f>IFERROR(__xludf.DUMMYFUNCTION("""COMPUTED_VALUE"""),"Esquemas de Traducción")</f>
        <v>Esquemas de Traducción</v>
      </c>
      <c r="G31" s="27"/>
      <c r="H31" s="29"/>
    </row>
    <row r="32" ht="15.75" customHeight="1">
      <c r="A32" s="32">
        <v>5.0</v>
      </c>
      <c r="B32" s="25"/>
      <c r="C32" s="29"/>
      <c r="D32" s="25"/>
      <c r="E32" s="29"/>
      <c r="F32" s="25"/>
      <c r="G32" s="27"/>
      <c r="H32" s="29"/>
    </row>
    <row r="33" ht="15.75" customHeight="1">
      <c r="A33" s="32">
        <v>6.0</v>
      </c>
      <c r="B33" s="25"/>
      <c r="C33" s="29"/>
      <c r="D33" s="25"/>
      <c r="E33" s="29"/>
      <c r="F33" s="25"/>
      <c r="G33" s="27"/>
      <c r="H33" s="29"/>
    </row>
    <row r="34" ht="15.75" customHeight="1">
      <c r="A34" s="32">
        <v>7.0</v>
      </c>
      <c r="B34" s="25"/>
      <c r="C34" s="29"/>
      <c r="D34" s="25"/>
      <c r="E34" s="29"/>
      <c r="F34" s="25"/>
      <c r="G34" s="27"/>
      <c r="H34" s="29"/>
    </row>
    <row r="35" ht="15.75" customHeight="1"/>
    <row r="36" ht="15.75" customHeight="1">
      <c r="A36" s="116" t="s">
        <v>207</v>
      </c>
    </row>
    <row r="37" ht="15.75" customHeight="1">
      <c r="A37" s="16"/>
      <c r="B37" s="16"/>
      <c r="C37" s="16"/>
      <c r="D37" s="16"/>
      <c r="E37" s="16"/>
      <c r="F37" s="16"/>
      <c r="G37" s="16"/>
      <c r="H37" s="16"/>
    </row>
    <row r="38">
      <c r="A38" s="97" t="s">
        <v>208</v>
      </c>
      <c r="B38" s="97" t="s">
        <v>70</v>
      </c>
      <c r="C38" s="117" t="s">
        <v>209</v>
      </c>
      <c r="D38" s="118" t="s">
        <v>210</v>
      </c>
      <c r="E38" s="27"/>
      <c r="F38" s="27"/>
      <c r="G38" s="27"/>
      <c r="H38" s="29"/>
      <c r="I38" s="119" t="s">
        <v>129</v>
      </c>
    </row>
    <row r="39" ht="15.75" customHeight="1">
      <c r="A39" s="32" t="s">
        <v>211</v>
      </c>
      <c r="B39" s="32" t="s">
        <v>212</v>
      </c>
      <c r="C39" s="32">
        <v>30.0</v>
      </c>
      <c r="D39" s="60">
        <v>20.0</v>
      </c>
      <c r="E39" s="27"/>
      <c r="F39" s="27"/>
      <c r="G39" s="27"/>
      <c r="H39" s="29"/>
      <c r="I39" s="32" t="str">
        <f t="shared" ref="I39:I42" si="1">IF(D39&lt;=C39,"Correcto", "Corregir")</f>
        <v>Correcto</v>
      </c>
    </row>
    <row r="40" ht="15.75" customHeight="1">
      <c r="A40" s="32" t="s">
        <v>213</v>
      </c>
      <c r="B40" s="32" t="s">
        <v>212</v>
      </c>
      <c r="C40" s="32">
        <v>6.0</v>
      </c>
      <c r="D40" s="25"/>
      <c r="E40" s="27"/>
      <c r="F40" s="27"/>
      <c r="G40" s="27"/>
      <c r="H40" s="29"/>
      <c r="I40" s="32" t="str">
        <f t="shared" si="1"/>
        <v>Correcto</v>
      </c>
    </row>
    <row r="41" ht="15.75" customHeight="1">
      <c r="A41" s="32" t="s">
        <v>214</v>
      </c>
      <c r="B41" s="32" t="s">
        <v>215</v>
      </c>
      <c r="C41" s="32">
        <v>10.0</v>
      </c>
      <c r="D41" s="25"/>
      <c r="E41" s="27"/>
      <c r="F41" s="27"/>
      <c r="G41" s="27"/>
      <c r="H41" s="29"/>
      <c r="I41" s="32" t="str">
        <f t="shared" si="1"/>
        <v>Correcto</v>
      </c>
    </row>
    <row r="42" ht="15.75" customHeight="1">
      <c r="A42" s="32" t="s">
        <v>216</v>
      </c>
      <c r="B42" s="32" t="s">
        <v>212</v>
      </c>
      <c r="C42" s="32">
        <v>30.0</v>
      </c>
      <c r="D42" s="60">
        <v>40.0</v>
      </c>
      <c r="E42" s="27"/>
      <c r="F42" s="27"/>
      <c r="G42" s="27"/>
      <c r="H42" s="29"/>
      <c r="I42" s="32" t="str">
        <f t="shared" si="1"/>
        <v>Corregir</v>
      </c>
    </row>
    <row r="43" ht="15.75" customHeight="1"/>
    <row r="44" ht="15.75" customHeight="1">
      <c r="A44" s="111" t="s">
        <v>217</v>
      </c>
      <c r="G44" s="79" t="s">
        <v>39</v>
      </c>
      <c r="H44" s="115">
        <f>B50</f>
        <v>30</v>
      </c>
    </row>
    <row r="45" ht="15.75" customHeight="1">
      <c r="G45" s="84" t="s">
        <v>218</v>
      </c>
    </row>
    <row r="46" ht="15.75" customHeight="1">
      <c r="A46" s="84" t="s">
        <v>219</v>
      </c>
    </row>
    <row r="47">
      <c r="A47" s="57" t="s">
        <v>220</v>
      </c>
      <c r="B47" s="60" t="s">
        <v>37</v>
      </c>
      <c r="C47" s="27"/>
      <c r="D47" s="27"/>
      <c r="E47" s="27"/>
      <c r="F47" s="27"/>
      <c r="G47" s="27"/>
      <c r="H47" s="29"/>
    </row>
    <row r="48" ht="15.75" customHeight="1">
      <c r="A48" s="57" t="s">
        <v>11</v>
      </c>
      <c r="B48" s="60" t="s">
        <v>221</v>
      </c>
      <c r="C48" s="27"/>
      <c r="D48" s="27"/>
      <c r="E48" s="27"/>
      <c r="F48" s="27"/>
      <c r="G48" s="27"/>
      <c r="H48" s="29"/>
    </row>
    <row r="49" ht="15.75" customHeight="1">
      <c r="A49" s="57" t="s">
        <v>189</v>
      </c>
      <c r="B49" s="120"/>
      <c r="C49" s="27"/>
      <c r="D49" s="27"/>
      <c r="E49" s="27"/>
      <c r="F49" s="27"/>
      <c r="G49" s="27"/>
      <c r="H49" s="29"/>
    </row>
    <row r="50" ht="15.75" customHeight="1">
      <c r="A50" s="57" t="s">
        <v>39</v>
      </c>
      <c r="B50" s="60">
        <v>30.0</v>
      </c>
      <c r="C50" s="27"/>
      <c r="D50" s="27"/>
      <c r="E50" s="27"/>
      <c r="F50" s="27"/>
      <c r="G50" s="27"/>
      <c r="H50" s="29"/>
    </row>
    <row r="51" ht="15.75" customHeight="1">
      <c r="A51" s="121" t="s">
        <v>222</v>
      </c>
      <c r="B51" s="16"/>
      <c r="C51" s="16"/>
      <c r="D51" s="16"/>
      <c r="E51" s="16"/>
      <c r="F51" s="16"/>
      <c r="G51" s="16"/>
      <c r="H51" s="16"/>
    </row>
    <row r="52" ht="15.75" customHeight="1">
      <c r="A52" s="113" t="s">
        <v>223</v>
      </c>
      <c r="B52" s="27"/>
      <c r="C52" s="27"/>
      <c r="D52" s="27"/>
      <c r="E52" s="27"/>
      <c r="F52" s="27"/>
      <c r="G52" s="27"/>
      <c r="H52" s="29"/>
    </row>
    <row r="53" ht="15.75" customHeight="1">
      <c r="A53" s="114" t="s">
        <v>224</v>
      </c>
      <c r="B53" s="102"/>
      <c r="C53" s="102"/>
      <c r="D53" s="102"/>
      <c r="E53" s="102"/>
      <c r="F53" s="102"/>
      <c r="G53" s="102"/>
      <c r="H53" s="103"/>
    </row>
    <row r="54" ht="15.75" customHeight="1">
      <c r="A54" s="122"/>
      <c r="H54" s="123"/>
    </row>
    <row r="55" ht="15.75" customHeight="1">
      <c r="A55" s="104"/>
      <c r="B55" s="105"/>
      <c r="C55" s="105"/>
      <c r="D55" s="105"/>
      <c r="E55" s="105"/>
      <c r="F55" s="105"/>
      <c r="G55" s="105"/>
      <c r="H55" s="106"/>
    </row>
    <row r="56">
      <c r="A56" s="124">
        <v>1.0</v>
      </c>
      <c r="B56" s="125" t="s">
        <v>225</v>
      </c>
      <c r="C56" s="27"/>
      <c r="D56" s="27"/>
      <c r="E56" s="27"/>
      <c r="F56" s="27"/>
      <c r="G56" s="27"/>
      <c r="H56" s="29"/>
    </row>
    <row r="57">
      <c r="A57" s="124">
        <v>2.0</v>
      </c>
      <c r="B57" s="125" t="s">
        <v>226</v>
      </c>
      <c r="C57" s="27"/>
      <c r="D57" s="27"/>
      <c r="E57" s="27"/>
      <c r="F57" s="27"/>
      <c r="G57" s="27"/>
      <c r="H57" s="29"/>
    </row>
    <row r="58">
      <c r="A58" s="124">
        <v>3.0</v>
      </c>
      <c r="B58" s="125" t="s">
        <v>227</v>
      </c>
      <c r="C58" s="27"/>
      <c r="D58" s="27"/>
      <c r="E58" s="27"/>
      <c r="F58" s="27"/>
      <c r="G58" s="27"/>
      <c r="H58" s="29"/>
    </row>
    <row r="59" ht="15.75" customHeight="1"/>
    <row r="60" ht="15.75" customHeight="1">
      <c r="A60" s="84" t="s">
        <v>228</v>
      </c>
    </row>
    <row r="61">
      <c r="A61" s="57" t="s">
        <v>220</v>
      </c>
      <c r="B61" s="25"/>
      <c r="C61" s="27"/>
      <c r="D61" s="27"/>
      <c r="E61" s="27"/>
      <c r="F61" s="27"/>
      <c r="G61" s="27"/>
      <c r="H61" s="29"/>
    </row>
    <row r="62" ht="15.75" customHeight="1">
      <c r="A62" s="57" t="s">
        <v>11</v>
      </c>
      <c r="B62" s="25"/>
      <c r="C62" s="27"/>
      <c r="D62" s="27"/>
      <c r="E62" s="27"/>
      <c r="F62" s="27"/>
      <c r="G62" s="27"/>
      <c r="H62" s="29"/>
    </row>
    <row r="63" ht="15.75" customHeight="1">
      <c r="A63" s="57" t="s">
        <v>189</v>
      </c>
      <c r="B63" s="127"/>
      <c r="C63" s="27"/>
      <c r="D63" s="27"/>
      <c r="E63" s="27"/>
      <c r="F63" s="27"/>
      <c r="G63" s="27"/>
      <c r="H63" s="29"/>
    </row>
    <row r="64" ht="15.75" customHeight="1">
      <c r="A64" s="57" t="s">
        <v>39</v>
      </c>
      <c r="B64" s="128"/>
      <c r="C64" s="27"/>
      <c r="D64" s="27"/>
      <c r="E64" s="27"/>
      <c r="F64" s="27"/>
      <c r="G64" s="27"/>
      <c r="H64" s="29"/>
    </row>
    <row r="65" ht="15.75" customHeight="1">
      <c r="A65" s="129" t="s">
        <v>232</v>
      </c>
      <c r="B65" s="16"/>
      <c r="C65" s="16"/>
      <c r="D65" s="16"/>
      <c r="E65" s="16"/>
      <c r="F65" s="16"/>
      <c r="G65" s="16"/>
      <c r="H65" s="16"/>
    </row>
    <row r="66" ht="15.75" customHeight="1">
      <c r="A66" s="113" t="s">
        <v>223</v>
      </c>
      <c r="B66" s="27"/>
      <c r="C66" s="27"/>
      <c r="D66" s="27"/>
      <c r="E66" s="27"/>
      <c r="F66" s="27"/>
      <c r="G66" s="27"/>
      <c r="H66" s="29"/>
    </row>
    <row r="67" ht="15.75" customHeight="1">
      <c r="A67" s="114"/>
      <c r="B67" s="102"/>
      <c r="C67" s="102"/>
      <c r="D67" s="102"/>
      <c r="E67" s="102"/>
      <c r="F67" s="102"/>
      <c r="G67" s="102"/>
      <c r="H67" s="103"/>
    </row>
    <row r="68" ht="15.75" customHeight="1">
      <c r="A68" s="122"/>
      <c r="H68" s="123"/>
    </row>
    <row r="69" ht="15.75" customHeight="1">
      <c r="A69" s="104"/>
      <c r="B69" s="105"/>
      <c r="C69" s="105"/>
      <c r="D69" s="105"/>
      <c r="E69" s="105"/>
      <c r="F69" s="105"/>
      <c r="G69" s="105"/>
      <c r="H69" s="106"/>
    </row>
    <row r="70" ht="15.75" customHeight="1"/>
    <row r="71" ht="15.75" customHeight="1">
      <c r="A71" s="111" t="s">
        <v>234</v>
      </c>
      <c r="G71" s="79" t="s">
        <v>39</v>
      </c>
      <c r="H71" s="112">
        <v>5.0</v>
      </c>
    </row>
    <row r="72" ht="15.75" customHeight="1">
      <c r="G72" s="84" t="s">
        <v>235</v>
      </c>
    </row>
    <row r="73" ht="15.75" customHeight="1">
      <c r="A73" s="57" t="s">
        <v>39</v>
      </c>
      <c r="B73" s="127">
        <v>5.0</v>
      </c>
      <c r="C73" s="27"/>
      <c r="D73" s="27"/>
      <c r="E73" s="27"/>
      <c r="F73" s="27"/>
      <c r="G73" s="27"/>
      <c r="H73" s="29"/>
    </row>
    <row r="74" ht="15.75" customHeight="1">
      <c r="A74" s="118" t="s">
        <v>236</v>
      </c>
      <c r="B74" s="27"/>
      <c r="C74" s="27"/>
      <c r="D74" s="27"/>
      <c r="E74" s="27"/>
      <c r="F74" s="27"/>
      <c r="G74" s="27"/>
      <c r="H74" s="29"/>
    </row>
    <row r="75" ht="15.75" customHeight="1">
      <c r="A75" s="130"/>
      <c r="B75" s="102"/>
      <c r="C75" s="102"/>
      <c r="D75" s="102"/>
      <c r="E75" s="102"/>
      <c r="F75" s="102"/>
      <c r="G75" s="102"/>
      <c r="H75" s="103"/>
    </row>
    <row r="76" ht="15.75" customHeight="1">
      <c r="A76" s="104"/>
      <c r="B76" s="105"/>
      <c r="C76" s="105"/>
      <c r="D76" s="105"/>
      <c r="E76" s="105"/>
      <c r="F76" s="105"/>
      <c r="G76" s="105"/>
      <c r="H76" s="106"/>
    </row>
    <row r="77" ht="15.75" customHeight="1">
      <c r="A77" s="84" t="s">
        <v>237</v>
      </c>
    </row>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64">
    <mergeCell ref="A44:F44"/>
    <mergeCell ref="B47:H47"/>
    <mergeCell ref="B48:H48"/>
    <mergeCell ref="B49:H49"/>
    <mergeCell ref="B50:H50"/>
    <mergeCell ref="A52:H52"/>
    <mergeCell ref="A53:H55"/>
    <mergeCell ref="A66:H66"/>
    <mergeCell ref="A67:H69"/>
    <mergeCell ref="A71:F71"/>
    <mergeCell ref="B73:H73"/>
    <mergeCell ref="A74:H74"/>
    <mergeCell ref="A75:H76"/>
    <mergeCell ref="B56:H56"/>
    <mergeCell ref="B57:H57"/>
    <mergeCell ref="B58:H58"/>
    <mergeCell ref="B61:H61"/>
    <mergeCell ref="B62:H62"/>
    <mergeCell ref="B63:H63"/>
    <mergeCell ref="B64:H64"/>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61">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7" t="s">
        <v>188</v>
      </c>
    </row>
    <row r="3" ht="15.75" customHeight="1"/>
    <row r="4" ht="15.75" customHeight="1">
      <c r="B4" s="12" t="s">
        <v>1</v>
      </c>
      <c r="C4" s="107" t="str">
        <f>'Diseño'!C4</f>
        <v>781 - Organización de Lenguajes y Compiladores 2</v>
      </c>
      <c r="D4" s="27"/>
      <c r="E4" s="27"/>
      <c r="F4" s="27"/>
      <c r="G4" s="29"/>
    </row>
    <row r="5" ht="15.75" customHeight="1">
      <c r="B5" s="32" t="s">
        <v>22</v>
      </c>
      <c r="C5" s="25">
        <v>3.0</v>
      </c>
      <c r="D5" s="27"/>
      <c r="E5" s="27"/>
      <c r="F5" s="27"/>
      <c r="G5" s="29"/>
    </row>
    <row r="6" ht="15.75" customHeight="1">
      <c r="B6" s="108" t="s">
        <v>28</v>
      </c>
      <c r="C6" s="25">
        <f>H10+H21+H44+H71</f>
        <v>100</v>
      </c>
      <c r="D6" s="27"/>
      <c r="E6" s="27"/>
      <c r="F6" s="27"/>
      <c r="G6" s="29"/>
      <c r="I6" s="16"/>
    </row>
    <row r="7" ht="15.75" customHeight="1">
      <c r="B7" s="108" t="s">
        <v>189</v>
      </c>
      <c r="C7" s="25">
        <f>B49+B63</f>
        <v>0</v>
      </c>
      <c r="D7" s="27"/>
      <c r="E7" s="27"/>
      <c r="F7" s="27"/>
      <c r="G7" s="29"/>
    </row>
    <row r="8" ht="15.75" customHeight="1">
      <c r="B8" s="108" t="s">
        <v>190</v>
      </c>
      <c r="C8" s="110" t="str">
        <f>IF(H44&lt;=0, "❌ ERROR: La Actividad 1 debe tener un tiempo mayor a 0.", IF(H21&gt;60, "❌ ERROR: El 'Área de Conocimiento' no puede exceder los 60 min.", IF(C6&lt;100, "❌ ERROR: El tiempo total debe ser de al menos 100 min.", "✅ VALIDACIÓN CORRECTA")))</f>
        <v>✅ VALIDACIÓN CORRECTA</v>
      </c>
      <c r="D8" s="27"/>
      <c r="E8" s="27"/>
      <c r="F8" s="27"/>
      <c r="G8" s="29"/>
      <c r="I8" s="16"/>
      <c r="J8" s="16"/>
      <c r="K8" s="16"/>
    </row>
    <row r="9" ht="15.75" customHeight="1"/>
    <row r="10" ht="15.75" customHeight="1">
      <c r="A10" s="111" t="s">
        <v>191</v>
      </c>
      <c r="G10" s="79" t="s">
        <v>39</v>
      </c>
      <c r="H10" s="112">
        <f>B13</f>
        <v>5</v>
      </c>
    </row>
    <row r="11" ht="15.75" customHeight="1">
      <c r="G11" s="84" t="s">
        <v>202</v>
      </c>
    </row>
    <row r="12" ht="15.75" customHeight="1">
      <c r="A12" s="57" t="s">
        <v>193</v>
      </c>
      <c r="B12" s="60" t="s">
        <v>203</v>
      </c>
      <c r="C12" s="27"/>
      <c r="D12" s="27"/>
      <c r="E12" s="27"/>
      <c r="F12" s="27"/>
      <c r="G12" s="27"/>
      <c r="H12" s="29"/>
    </row>
    <row r="13" ht="15.75" customHeight="1">
      <c r="A13" s="65" t="s">
        <v>39</v>
      </c>
      <c r="B13" s="60">
        <v>5.0</v>
      </c>
      <c r="C13" s="27"/>
      <c r="D13" s="27"/>
      <c r="E13" s="27"/>
      <c r="F13" s="27"/>
      <c r="G13" s="27"/>
      <c r="H13" s="29"/>
    </row>
    <row r="14" ht="15.75" customHeight="1">
      <c r="A14" s="113" t="s">
        <v>195</v>
      </c>
      <c r="B14" s="27"/>
      <c r="C14" s="27"/>
      <c r="D14" s="27"/>
      <c r="E14" s="27"/>
      <c r="F14" s="27"/>
      <c r="G14" s="27"/>
      <c r="H14" s="29"/>
    </row>
    <row r="15" ht="15.75" customHeight="1">
      <c r="A15" s="114" t="s">
        <v>204</v>
      </c>
      <c r="B15" s="102"/>
      <c r="C15" s="102"/>
      <c r="D15" s="102"/>
      <c r="E15" s="102"/>
      <c r="F15" s="102"/>
      <c r="G15" s="102"/>
      <c r="H15" s="103"/>
    </row>
    <row r="16" ht="15.75" customHeight="1">
      <c r="A16" s="104"/>
      <c r="B16" s="105"/>
      <c r="C16" s="105"/>
      <c r="D16" s="105"/>
      <c r="E16" s="105"/>
      <c r="F16" s="105"/>
      <c r="G16" s="105"/>
      <c r="H16" s="106"/>
    </row>
    <row r="17" ht="15.75" customHeight="1">
      <c r="A17" s="113" t="s">
        <v>197</v>
      </c>
      <c r="B17" s="27"/>
      <c r="C17" s="27"/>
      <c r="D17" s="27"/>
      <c r="E17" s="27"/>
      <c r="F17" s="27"/>
      <c r="G17" s="27"/>
      <c r="H17" s="29"/>
    </row>
    <row r="18" ht="15.75" customHeight="1">
      <c r="A18" s="114" t="s">
        <v>206</v>
      </c>
      <c r="B18" s="102"/>
      <c r="C18" s="102"/>
      <c r="D18" s="102"/>
      <c r="E18" s="102"/>
      <c r="F18" s="102"/>
      <c r="G18" s="102"/>
      <c r="H18" s="103"/>
    </row>
    <row r="19" ht="15.75" customHeight="1">
      <c r="A19" s="104"/>
      <c r="B19" s="105"/>
      <c r="C19" s="105"/>
      <c r="D19" s="105"/>
      <c r="E19" s="105"/>
      <c r="F19" s="105"/>
      <c r="G19" s="105"/>
      <c r="H19" s="106"/>
    </row>
    <row r="20" ht="15.75" customHeight="1"/>
    <row r="21" ht="15.75" customHeight="1">
      <c r="A21" s="111" t="s">
        <v>199</v>
      </c>
      <c r="G21" s="79" t="s">
        <v>39</v>
      </c>
      <c r="H21" s="115">
        <f>SUM(D39:H42)</f>
        <v>60</v>
      </c>
      <c r="I21" s="16"/>
    </row>
    <row r="22" ht="15.75" customHeight="1">
      <c r="G22" s="84" t="s">
        <v>200</v>
      </c>
    </row>
    <row r="23">
      <c r="A23" s="57" t="s">
        <v>201</v>
      </c>
      <c r="B23" s="95" t="s">
        <v>48</v>
      </c>
      <c r="C23" s="27"/>
      <c r="D23" s="27"/>
      <c r="E23" s="27"/>
      <c r="F23" s="27"/>
      <c r="G23" s="27"/>
      <c r="H23" s="29"/>
    </row>
    <row r="24" ht="15.75" customHeight="1">
      <c r="A24" s="57" t="s">
        <v>201</v>
      </c>
      <c r="B24" s="25"/>
      <c r="C24" s="27"/>
      <c r="D24" s="27"/>
      <c r="E24" s="27"/>
      <c r="F24" s="27"/>
      <c r="G24" s="27"/>
      <c r="H24" s="29"/>
    </row>
    <row r="25" ht="15.75" customHeight="1"/>
    <row r="26" ht="15.75" customHeight="1">
      <c r="A26" s="116" t="s">
        <v>205</v>
      </c>
      <c r="B26" s="16"/>
      <c r="C26" s="16"/>
      <c r="D26" s="16"/>
    </row>
    <row r="27" ht="15.75" customHeight="1">
      <c r="A27" s="97" t="s">
        <v>16</v>
      </c>
      <c r="B27" s="98" t="s">
        <v>164</v>
      </c>
      <c r="C27" s="29"/>
      <c r="D27" s="98" t="s">
        <v>168</v>
      </c>
      <c r="E27" s="29"/>
      <c r="F27" s="98" t="s">
        <v>169</v>
      </c>
      <c r="G27" s="27"/>
      <c r="H27" s="29"/>
    </row>
    <row r="28" ht="15.75" customHeight="1">
      <c r="A28" s="32">
        <v>1.0</v>
      </c>
      <c r="B28" s="25">
        <f>IFERROR(__xludf.DUMMYFUNCTION("FILTER('Diseño'!D:D,'Diseño'!H:H=$C$5)"),1.0)</f>
        <v>1</v>
      </c>
      <c r="C28" s="29"/>
      <c r="D28" s="25" t="str">
        <f>IFERROR(__xludf.DUMMYFUNCTION("FILTER('Diseño'!E:E,'Diseño'!H:H=$C$5)"),"Análisis Semántico")</f>
        <v>Análisis Semántico</v>
      </c>
      <c r="E28" s="29"/>
      <c r="F28" s="25" t="str">
        <f>IFERROR(__xludf.DUMMYFUNCTION("FILTER('Diseño'!F:F,'Diseño'!H:H=$C$5)"),"Atributos Sintetizados y Heredados")</f>
        <v>Atributos Sintetizados y Heredados</v>
      </c>
      <c r="G28" s="27"/>
      <c r="H28" s="29"/>
    </row>
    <row r="29" ht="15.75" customHeight="1">
      <c r="A29" s="32">
        <v>2.0</v>
      </c>
      <c r="B29" s="25">
        <f>IFERROR(__xludf.DUMMYFUNCTION("""COMPUTED_VALUE"""),1.0)</f>
        <v>1</v>
      </c>
      <c r="C29" s="29"/>
      <c r="D29" s="25" t="str">
        <f>IFERROR(__xludf.DUMMYFUNCTION("""COMPUTED_VALUE"""),"Análisis Semántico")</f>
        <v>Análisis Semántico</v>
      </c>
      <c r="E29" s="29"/>
      <c r="F29" s="25" t="str">
        <f>IFERROR(__xludf.DUMMYFUNCTION("""COMPUTED_VALUE"""),"Alcance y Tabla de Símbolos")</f>
        <v>Alcance y Tabla de Símbolos</v>
      </c>
      <c r="G29" s="27"/>
      <c r="H29" s="29"/>
    </row>
    <row r="30" ht="15.75" customHeight="1">
      <c r="A30" s="32">
        <v>3.0</v>
      </c>
      <c r="B30" s="25">
        <f>IFERROR(__xludf.DUMMYFUNCTION("""COMPUTED_VALUE"""),1.0)</f>
        <v>1</v>
      </c>
      <c r="C30" s="29"/>
      <c r="D30" s="25" t="str">
        <f>IFERROR(__xludf.DUMMYFUNCTION("""COMPUTED_VALUE"""),"Análisis Semántico")</f>
        <v>Análisis Semántico</v>
      </c>
      <c r="E30" s="29"/>
      <c r="F30" s="25" t="str">
        <f>IFERROR(__xludf.DUMMYFUNCTION("""COMPUTED_VALUE"""),"Validación de Tipos")</f>
        <v>Validación de Tipos</v>
      </c>
      <c r="G30" s="27"/>
      <c r="H30" s="29"/>
    </row>
    <row r="31" ht="15.75" customHeight="1">
      <c r="A31" s="32">
        <v>4.0</v>
      </c>
      <c r="B31" s="25">
        <f>IFERROR(__xludf.DUMMYFUNCTION("""COMPUTED_VALUE"""),1.0)</f>
        <v>1</v>
      </c>
      <c r="C31" s="29"/>
      <c r="D31" s="25" t="str">
        <f>IFERROR(__xludf.DUMMYFUNCTION("""COMPUTED_VALUE"""),"Análisis Semántico")</f>
        <v>Análisis Semántico</v>
      </c>
      <c r="E31" s="29"/>
      <c r="F31" s="25" t="str">
        <f>IFERROR(__xludf.DUMMYFUNCTION("""COMPUTED_VALUE"""),"Entornos")</f>
        <v>Entornos</v>
      </c>
      <c r="G31" s="27"/>
      <c r="H31" s="29"/>
    </row>
    <row r="32" ht="15.75" customHeight="1">
      <c r="A32" s="32">
        <v>5.0</v>
      </c>
      <c r="B32" s="25"/>
      <c r="C32" s="29"/>
      <c r="D32" s="25"/>
      <c r="E32" s="29"/>
      <c r="F32" s="25"/>
      <c r="G32" s="27"/>
      <c r="H32" s="29"/>
    </row>
    <row r="33" ht="15.75" customHeight="1">
      <c r="A33" s="32">
        <v>6.0</v>
      </c>
      <c r="B33" s="25"/>
      <c r="C33" s="29"/>
      <c r="D33" s="25"/>
      <c r="E33" s="29"/>
      <c r="F33" s="25"/>
      <c r="G33" s="27"/>
      <c r="H33" s="29"/>
    </row>
    <row r="34" ht="15.75" customHeight="1">
      <c r="A34" s="32">
        <v>7.0</v>
      </c>
      <c r="B34" s="25"/>
      <c r="C34" s="29"/>
      <c r="D34" s="25"/>
      <c r="E34" s="29"/>
      <c r="F34" s="25"/>
      <c r="G34" s="27"/>
      <c r="H34" s="29"/>
    </row>
    <row r="35" ht="15.75" customHeight="1"/>
    <row r="36" ht="15.75" customHeight="1">
      <c r="A36" s="116" t="s">
        <v>207</v>
      </c>
    </row>
    <row r="37" ht="15.75" customHeight="1">
      <c r="A37" s="16"/>
      <c r="B37" s="16"/>
      <c r="C37" s="16"/>
      <c r="D37" s="16"/>
      <c r="E37" s="16"/>
      <c r="F37" s="16"/>
      <c r="G37" s="16"/>
      <c r="H37" s="16"/>
    </row>
    <row r="38">
      <c r="A38" s="97" t="s">
        <v>208</v>
      </c>
      <c r="B38" s="97" t="s">
        <v>70</v>
      </c>
      <c r="C38" s="117" t="s">
        <v>209</v>
      </c>
      <c r="D38" s="118" t="s">
        <v>210</v>
      </c>
      <c r="E38" s="27"/>
      <c r="F38" s="27"/>
      <c r="G38" s="27"/>
      <c r="H38" s="29"/>
      <c r="I38" s="119" t="s">
        <v>129</v>
      </c>
    </row>
    <row r="39" ht="15.75" customHeight="1">
      <c r="A39" s="32" t="s">
        <v>211</v>
      </c>
      <c r="B39" s="32" t="s">
        <v>212</v>
      </c>
      <c r="C39" s="32">
        <v>30.0</v>
      </c>
      <c r="D39" s="60">
        <v>20.0</v>
      </c>
      <c r="E39" s="27"/>
      <c r="F39" s="27"/>
      <c r="G39" s="27"/>
      <c r="H39" s="29"/>
      <c r="I39" s="32" t="str">
        <f t="shared" ref="I39:I42" si="1">IF(D39&lt;=C39,"Correcto", "Corregir")</f>
        <v>Correcto</v>
      </c>
    </row>
    <row r="40" ht="15.75" customHeight="1">
      <c r="A40" s="32" t="s">
        <v>213</v>
      </c>
      <c r="B40" s="32" t="s">
        <v>212</v>
      </c>
      <c r="C40" s="32">
        <v>6.0</v>
      </c>
      <c r="D40" s="25"/>
      <c r="E40" s="27"/>
      <c r="F40" s="27"/>
      <c r="G40" s="27"/>
      <c r="H40" s="29"/>
      <c r="I40" s="32" t="str">
        <f t="shared" si="1"/>
        <v>Correcto</v>
      </c>
    </row>
    <row r="41" ht="15.75" customHeight="1">
      <c r="A41" s="32" t="s">
        <v>214</v>
      </c>
      <c r="B41" s="32" t="s">
        <v>215</v>
      </c>
      <c r="C41" s="32">
        <v>10.0</v>
      </c>
      <c r="D41" s="25"/>
      <c r="E41" s="27"/>
      <c r="F41" s="27"/>
      <c r="G41" s="27"/>
      <c r="H41" s="29"/>
      <c r="I41" s="32" t="str">
        <f t="shared" si="1"/>
        <v>Correcto</v>
      </c>
    </row>
    <row r="42" ht="15.75" customHeight="1">
      <c r="A42" s="32" t="s">
        <v>216</v>
      </c>
      <c r="B42" s="32" t="s">
        <v>212</v>
      </c>
      <c r="C42" s="32">
        <v>30.0</v>
      </c>
      <c r="D42" s="60">
        <v>40.0</v>
      </c>
      <c r="E42" s="27"/>
      <c r="F42" s="27"/>
      <c r="G42" s="27"/>
      <c r="H42" s="29"/>
      <c r="I42" s="32" t="str">
        <f t="shared" si="1"/>
        <v>Corregir</v>
      </c>
    </row>
    <row r="43" ht="15.75" customHeight="1"/>
    <row r="44" ht="15.75" customHeight="1">
      <c r="A44" s="111" t="s">
        <v>217</v>
      </c>
      <c r="G44" s="79" t="s">
        <v>39</v>
      </c>
      <c r="H44" s="115">
        <f>B50</f>
        <v>30</v>
      </c>
    </row>
    <row r="45" ht="15.75" customHeight="1">
      <c r="G45" s="84" t="s">
        <v>218</v>
      </c>
    </row>
    <row r="46" ht="15.75" customHeight="1">
      <c r="A46" s="84" t="s">
        <v>219</v>
      </c>
    </row>
    <row r="47">
      <c r="A47" s="57" t="s">
        <v>220</v>
      </c>
      <c r="B47" s="60" t="s">
        <v>48</v>
      </c>
      <c r="C47" s="27"/>
      <c r="D47" s="27"/>
      <c r="E47" s="27"/>
      <c r="F47" s="27"/>
      <c r="G47" s="27"/>
      <c r="H47" s="29"/>
    </row>
    <row r="48" ht="15.75" customHeight="1">
      <c r="A48" s="57" t="s">
        <v>11</v>
      </c>
      <c r="B48" s="60" t="s">
        <v>221</v>
      </c>
      <c r="C48" s="27"/>
      <c r="D48" s="27"/>
      <c r="E48" s="27"/>
      <c r="F48" s="27"/>
      <c r="G48" s="27"/>
      <c r="H48" s="29"/>
    </row>
    <row r="49" ht="15.75" customHeight="1">
      <c r="A49" s="57" t="s">
        <v>189</v>
      </c>
      <c r="B49" s="60"/>
      <c r="C49" s="27"/>
      <c r="D49" s="27"/>
      <c r="E49" s="27"/>
      <c r="F49" s="27"/>
      <c r="G49" s="27"/>
      <c r="H49" s="29"/>
    </row>
    <row r="50" ht="15.75" customHeight="1">
      <c r="A50" s="57" t="s">
        <v>39</v>
      </c>
      <c r="B50" s="60">
        <v>30.0</v>
      </c>
      <c r="C50" s="27"/>
      <c r="D50" s="27"/>
      <c r="E50" s="27"/>
      <c r="F50" s="27"/>
      <c r="G50" s="27"/>
      <c r="H50" s="29"/>
    </row>
    <row r="51" ht="15.75" customHeight="1">
      <c r="A51" s="121" t="s">
        <v>222</v>
      </c>
      <c r="B51" s="16"/>
      <c r="C51" s="16"/>
      <c r="D51" s="16"/>
      <c r="E51" s="16"/>
      <c r="F51" s="16"/>
      <c r="G51" s="16"/>
      <c r="H51" s="16"/>
    </row>
    <row r="52" ht="15.75" customHeight="1">
      <c r="A52" s="113" t="s">
        <v>223</v>
      </c>
      <c r="B52" s="27"/>
      <c r="C52" s="27"/>
      <c r="D52" s="27"/>
      <c r="E52" s="27"/>
      <c r="F52" s="27"/>
      <c r="G52" s="27"/>
      <c r="H52" s="29"/>
    </row>
    <row r="53" ht="15.75" customHeight="1">
      <c r="A53" s="126" t="s">
        <v>229</v>
      </c>
      <c r="B53" s="102"/>
      <c r="C53" s="102"/>
      <c r="D53" s="102"/>
      <c r="E53" s="102"/>
      <c r="F53" s="102"/>
      <c r="G53" s="102"/>
      <c r="H53" s="103"/>
    </row>
    <row r="54" ht="15.75" customHeight="1">
      <c r="A54" s="122"/>
      <c r="H54" s="123"/>
    </row>
    <row r="55" ht="81.75" customHeight="1">
      <c r="A55" s="104"/>
      <c r="B55" s="105"/>
      <c r="C55" s="105"/>
      <c r="D55" s="105"/>
      <c r="E55" s="105"/>
      <c r="F55" s="105"/>
      <c r="G55" s="105"/>
      <c r="H55" s="106"/>
    </row>
    <row r="56">
      <c r="A56" s="124">
        <v>1.0</v>
      </c>
      <c r="B56" s="125" t="s">
        <v>230</v>
      </c>
      <c r="C56" s="27"/>
      <c r="D56" s="27"/>
      <c r="E56" s="27"/>
      <c r="F56" s="27"/>
      <c r="G56" s="27"/>
      <c r="H56" s="29"/>
    </row>
    <row r="57">
      <c r="A57" s="124">
        <v>2.0</v>
      </c>
      <c r="B57" s="125" t="s">
        <v>231</v>
      </c>
      <c r="C57" s="27"/>
      <c r="D57" s="27"/>
      <c r="E57" s="27"/>
      <c r="F57" s="27"/>
      <c r="G57" s="27"/>
      <c r="H57" s="29"/>
    </row>
    <row r="58">
      <c r="A58" s="124">
        <v>3.0</v>
      </c>
      <c r="B58" s="125" t="s">
        <v>233</v>
      </c>
      <c r="C58" s="27"/>
      <c r="D58" s="27"/>
      <c r="E58" s="27"/>
      <c r="F58" s="27"/>
      <c r="G58" s="27"/>
      <c r="H58" s="29"/>
    </row>
    <row r="59" ht="15.75" customHeight="1"/>
    <row r="60" ht="15.75" customHeight="1">
      <c r="A60" s="84" t="s">
        <v>228</v>
      </c>
    </row>
    <row r="61">
      <c r="A61" s="57" t="s">
        <v>220</v>
      </c>
      <c r="B61" s="25"/>
      <c r="C61" s="27"/>
      <c r="D61" s="27"/>
      <c r="E61" s="27"/>
      <c r="F61" s="27"/>
      <c r="G61" s="27"/>
      <c r="H61" s="29"/>
    </row>
    <row r="62" ht="15.75" customHeight="1">
      <c r="A62" s="57" t="s">
        <v>11</v>
      </c>
      <c r="B62" s="25"/>
      <c r="C62" s="27"/>
      <c r="D62" s="27"/>
      <c r="E62" s="27"/>
      <c r="F62" s="27"/>
      <c r="G62" s="27"/>
      <c r="H62" s="29"/>
    </row>
    <row r="63" ht="15.75" customHeight="1">
      <c r="A63" s="57" t="s">
        <v>189</v>
      </c>
      <c r="B63" s="128"/>
      <c r="C63" s="27"/>
      <c r="D63" s="27"/>
      <c r="E63" s="27"/>
      <c r="F63" s="27"/>
      <c r="G63" s="27"/>
      <c r="H63" s="29"/>
    </row>
    <row r="64" ht="15.75" customHeight="1">
      <c r="A64" s="57" t="s">
        <v>39</v>
      </c>
      <c r="B64" s="128"/>
      <c r="C64" s="27"/>
      <c r="D64" s="27"/>
      <c r="E64" s="27"/>
      <c r="F64" s="27"/>
      <c r="G64" s="27"/>
      <c r="H64" s="29"/>
    </row>
    <row r="65" ht="15.75" customHeight="1">
      <c r="A65" s="129" t="s">
        <v>232</v>
      </c>
      <c r="B65" s="16"/>
      <c r="C65" s="16"/>
      <c r="D65" s="16"/>
      <c r="E65" s="16"/>
      <c r="F65" s="16"/>
      <c r="G65" s="16"/>
      <c r="H65" s="16"/>
    </row>
    <row r="66" ht="15.75" customHeight="1">
      <c r="A66" s="113" t="s">
        <v>223</v>
      </c>
      <c r="B66" s="27"/>
      <c r="C66" s="27"/>
      <c r="D66" s="27"/>
      <c r="E66" s="27"/>
      <c r="F66" s="27"/>
      <c r="G66" s="27"/>
      <c r="H66" s="29"/>
    </row>
    <row r="67" ht="15.75" customHeight="1">
      <c r="A67" s="130"/>
      <c r="B67" s="102"/>
      <c r="C67" s="102"/>
      <c r="D67" s="102"/>
      <c r="E67" s="102"/>
      <c r="F67" s="102"/>
      <c r="G67" s="102"/>
      <c r="H67" s="103"/>
    </row>
    <row r="68" ht="15.75" customHeight="1">
      <c r="A68" s="122"/>
      <c r="H68" s="123"/>
    </row>
    <row r="69" ht="15.75" customHeight="1">
      <c r="A69" s="104"/>
      <c r="B69" s="105"/>
      <c r="C69" s="105"/>
      <c r="D69" s="105"/>
      <c r="E69" s="105"/>
      <c r="F69" s="105"/>
      <c r="G69" s="105"/>
      <c r="H69" s="106"/>
    </row>
    <row r="70" ht="15.75" customHeight="1"/>
    <row r="71" ht="15.75" customHeight="1">
      <c r="A71" s="111" t="s">
        <v>234</v>
      </c>
      <c r="G71" s="79" t="s">
        <v>39</v>
      </c>
      <c r="H71" s="112">
        <f>B73</f>
        <v>5</v>
      </c>
    </row>
    <row r="72" ht="15.75" customHeight="1">
      <c r="G72" s="84" t="s">
        <v>235</v>
      </c>
    </row>
    <row r="73" ht="15.75" customHeight="1">
      <c r="A73" s="57" t="s">
        <v>39</v>
      </c>
      <c r="B73" s="60">
        <v>5.0</v>
      </c>
      <c r="C73" s="27"/>
      <c r="D73" s="27"/>
      <c r="E73" s="27"/>
      <c r="F73" s="27"/>
      <c r="G73" s="27"/>
      <c r="H73" s="29"/>
    </row>
    <row r="74" ht="15.75" customHeight="1">
      <c r="A74" s="118" t="s">
        <v>236</v>
      </c>
      <c r="B74" s="27"/>
      <c r="C74" s="27"/>
      <c r="D74" s="27"/>
      <c r="E74" s="27"/>
      <c r="F74" s="27"/>
      <c r="G74" s="27"/>
      <c r="H74" s="29"/>
    </row>
    <row r="75" ht="15.75" customHeight="1">
      <c r="A75" s="130"/>
      <c r="B75" s="102"/>
      <c r="C75" s="102"/>
      <c r="D75" s="102"/>
      <c r="E75" s="102"/>
      <c r="F75" s="102"/>
      <c r="G75" s="102"/>
      <c r="H75" s="103"/>
    </row>
    <row r="76" ht="15.75" customHeight="1">
      <c r="A76" s="104"/>
      <c r="B76" s="105"/>
      <c r="C76" s="105"/>
      <c r="D76" s="105"/>
      <c r="E76" s="105"/>
      <c r="F76" s="105"/>
      <c r="G76" s="105"/>
      <c r="H76" s="106"/>
    </row>
    <row r="77" ht="15.75" customHeight="1">
      <c r="A77" s="84" t="s">
        <v>237</v>
      </c>
    </row>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64">
    <mergeCell ref="A44:F44"/>
    <mergeCell ref="B47:H47"/>
    <mergeCell ref="B48:H48"/>
    <mergeCell ref="B49:H49"/>
    <mergeCell ref="B50:H50"/>
    <mergeCell ref="A52:H52"/>
    <mergeCell ref="A53:H55"/>
    <mergeCell ref="A66:H66"/>
    <mergeCell ref="A67:H69"/>
    <mergeCell ref="A71:F71"/>
    <mergeCell ref="B73:H73"/>
    <mergeCell ref="A74:H74"/>
    <mergeCell ref="A75:H76"/>
    <mergeCell ref="B56:H56"/>
    <mergeCell ref="B57:H57"/>
    <mergeCell ref="B58:H58"/>
    <mergeCell ref="B61:H61"/>
    <mergeCell ref="B62:H62"/>
    <mergeCell ref="B63:H63"/>
    <mergeCell ref="B64:H64"/>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61">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7" t="s">
        <v>188</v>
      </c>
    </row>
    <row r="3" ht="15.75" customHeight="1"/>
    <row r="4" ht="15.75" customHeight="1">
      <c r="B4" s="12" t="s">
        <v>1</v>
      </c>
      <c r="C4" s="107" t="str">
        <f>'Diseño'!C4</f>
        <v>781 - Organización de Lenguajes y Compiladores 2</v>
      </c>
      <c r="D4" s="27"/>
      <c r="E4" s="27"/>
      <c r="F4" s="27"/>
      <c r="G4" s="29"/>
    </row>
    <row r="5" ht="15.75" customHeight="1">
      <c r="B5" s="32" t="s">
        <v>22</v>
      </c>
      <c r="C5" s="25">
        <v>4.0</v>
      </c>
      <c r="D5" s="27"/>
      <c r="E5" s="27"/>
      <c r="F5" s="27"/>
      <c r="G5" s="29"/>
    </row>
    <row r="6" ht="15.75" customHeight="1">
      <c r="B6" s="108" t="s">
        <v>28</v>
      </c>
      <c r="C6" s="25">
        <f>H10+H21+H44+H68</f>
        <v>100</v>
      </c>
      <c r="D6" s="27"/>
      <c r="E6" s="27"/>
      <c r="F6" s="27"/>
      <c r="G6" s="29"/>
      <c r="I6" s="16"/>
    </row>
    <row r="7" ht="15.75" customHeight="1">
      <c r="B7" s="108" t="s">
        <v>189</v>
      </c>
      <c r="C7" s="25">
        <f>B49+B60</f>
        <v>0</v>
      </c>
      <c r="D7" s="27"/>
      <c r="E7" s="27"/>
      <c r="F7" s="27"/>
      <c r="G7" s="29"/>
    </row>
    <row r="8" ht="15.75" customHeight="1">
      <c r="B8" s="108" t="s">
        <v>190</v>
      </c>
      <c r="C8" s="110" t="str">
        <f>IF(H44&lt;=0, "❌ ERROR: La Actividad 1 debe tener un tiempo mayor a 0.", IF(H21&gt;60, "❌ ERROR: El 'Área de Conocimiento' no puede exceder los 60 min.", IF(C6&lt;100, "❌ ERROR: El tiempo total debe ser de al menos 100 min.", "✅ VALIDACIÓN CORRECTA")))</f>
        <v>✅ VALIDACIÓN CORRECTA</v>
      </c>
      <c r="D8" s="27"/>
      <c r="E8" s="27"/>
      <c r="F8" s="27"/>
      <c r="G8" s="29"/>
      <c r="I8" s="16"/>
      <c r="J8" s="16"/>
      <c r="K8" s="16"/>
    </row>
    <row r="9" ht="15.75" customHeight="1"/>
    <row r="10" ht="15.75" customHeight="1">
      <c r="A10" s="111" t="s">
        <v>191</v>
      </c>
      <c r="G10" s="79" t="s">
        <v>39</v>
      </c>
      <c r="H10" s="112">
        <f>B13</f>
        <v>5</v>
      </c>
    </row>
    <row r="11" ht="15.75" customHeight="1">
      <c r="G11" s="84" t="s">
        <v>202</v>
      </c>
    </row>
    <row r="12" ht="15.75" customHeight="1">
      <c r="A12" s="57" t="s">
        <v>193</v>
      </c>
      <c r="B12" s="60" t="s">
        <v>238</v>
      </c>
      <c r="C12" s="27"/>
      <c r="D12" s="27"/>
      <c r="E12" s="27"/>
      <c r="F12" s="27"/>
      <c r="G12" s="27"/>
      <c r="H12" s="29"/>
    </row>
    <row r="13" ht="15.75" customHeight="1">
      <c r="A13" s="65" t="s">
        <v>39</v>
      </c>
      <c r="B13" s="60">
        <v>5.0</v>
      </c>
      <c r="C13" s="27"/>
      <c r="D13" s="27"/>
      <c r="E13" s="27"/>
      <c r="F13" s="27"/>
      <c r="G13" s="27"/>
      <c r="H13" s="29"/>
    </row>
    <row r="14" ht="15.75" customHeight="1">
      <c r="A14" s="113" t="s">
        <v>195</v>
      </c>
      <c r="B14" s="27"/>
      <c r="C14" s="27"/>
      <c r="D14" s="27"/>
      <c r="E14" s="27"/>
      <c r="F14" s="27"/>
      <c r="G14" s="27"/>
      <c r="H14" s="29"/>
    </row>
    <row r="15" ht="15.75" customHeight="1">
      <c r="A15" s="114" t="s">
        <v>241</v>
      </c>
      <c r="B15" s="102"/>
      <c r="C15" s="102"/>
      <c r="D15" s="102"/>
      <c r="E15" s="102"/>
      <c r="F15" s="102"/>
      <c r="G15" s="102"/>
      <c r="H15" s="103"/>
    </row>
    <row r="16" ht="15.75" customHeight="1">
      <c r="A16" s="104"/>
      <c r="B16" s="105"/>
      <c r="C16" s="105"/>
      <c r="D16" s="105"/>
      <c r="E16" s="105"/>
      <c r="F16" s="105"/>
      <c r="G16" s="105"/>
      <c r="H16" s="106"/>
    </row>
    <row r="17" ht="15.75" customHeight="1">
      <c r="A17" s="113" t="s">
        <v>197</v>
      </c>
      <c r="B17" s="27"/>
      <c r="C17" s="27"/>
      <c r="D17" s="27"/>
      <c r="E17" s="27"/>
      <c r="F17" s="27"/>
      <c r="G17" s="27"/>
      <c r="H17" s="29"/>
    </row>
    <row r="18" ht="15.75" customHeight="1">
      <c r="A18" s="114" t="s">
        <v>243</v>
      </c>
      <c r="B18" s="102"/>
      <c r="C18" s="102"/>
      <c r="D18" s="102"/>
      <c r="E18" s="102"/>
      <c r="F18" s="102"/>
      <c r="G18" s="102"/>
      <c r="H18" s="103"/>
    </row>
    <row r="19" ht="22.5" customHeight="1">
      <c r="A19" s="104"/>
      <c r="B19" s="105"/>
      <c r="C19" s="105"/>
      <c r="D19" s="105"/>
      <c r="E19" s="105"/>
      <c r="F19" s="105"/>
      <c r="G19" s="105"/>
      <c r="H19" s="106"/>
    </row>
    <row r="20" ht="15.75" customHeight="1"/>
    <row r="21" ht="15.75" customHeight="1">
      <c r="A21" s="111" t="s">
        <v>199</v>
      </c>
      <c r="G21" s="79" t="s">
        <v>39</v>
      </c>
      <c r="H21" s="115">
        <f>SUM(D39:H42)</f>
        <v>60</v>
      </c>
      <c r="I21" s="16"/>
    </row>
    <row r="22" ht="15.75" customHeight="1">
      <c r="G22" s="84" t="s">
        <v>200</v>
      </c>
    </row>
    <row r="23">
      <c r="A23" s="57" t="s">
        <v>201</v>
      </c>
      <c r="B23" s="95" t="s">
        <v>48</v>
      </c>
      <c r="C23" s="27"/>
      <c r="D23" s="27"/>
      <c r="E23" s="27"/>
      <c r="F23" s="27"/>
      <c r="G23" s="27"/>
      <c r="H23" s="29"/>
    </row>
    <row r="24" ht="15.75" customHeight="1">
      <c r="A24" s="57" t="s">
        <v>201</v>
      </c>
      <c r="B24" s="25"/>
      <c r="C24" s="27"/>
      <c r="D24" s="27"/>
      <c r="E24" s="27"/>
      <c r="F24" s="27"/>
      <c r="G24" s="27"/>
      <c r="H24" s="29"/>
    </row>
    <row r="25" ht="15.75" customHeight="1"/>
    <row r="26" ht="15.75" customHeight="1">
      <c r="A26" s="116" t="s">
        <v>205</v>
      </c>
      <c r="B26" s="16"/>
      <c r="C26" s="16"/>
      <c r="D26" s="16"/>
    </row>
    <row r="27" ht="15.75" customHeight="1">
      <c r="A27" s="97" t="s">
        <v>16</v>
      </c>
      <c r="B27" s="98" t="s">
        <v>164</v>
      </c>
      <c r="C27" s="29"/>
      <c r="D27" s="98" t="s">
        <v>168</v>
      </c>
      <c r="E27" s="29"/>
      <c r="F27" s="98" t="s">
        <v>169</v>
      </c>
      <c r="G27" s="27"/>
      <c r="H27" s="29"/>
    </row>
    <row r="28" ht="15.75" customHeight="1">
      <c r="A28" s="32">
        <v>1.0</v>
      </c>
      <c r="B28" s="25">
        <f>IFERROR(__xludf.DUMMYFUNCTION("FILTER('Diseño'!D:D,'Diseño'!H:H=$C$5)"),1.0)</f>
        <v>1</v>
      </c>
      <c r="C28" s="29"/>
      <c r="D28" s="25" t="str">
        <f>IFERROR(__xludf.DUMMYFUNCTION("FILTER('Diseño'!E:E,'Diseño'!H:H=$C$5)"),"Análisis Semántico")</f>
        <v>Análisis Semántico</v>
      </c>
      <c r="E28" s="29"/>
      <c r="F28" s="25" t="str">
        <f>IFERROR(__xludf.DUMMYFUNCTION("FILTER('Diseño'!F:F,'Diseño'!H:H=$C$5)"),"Tipado Dinámico")</f>
        <v>Tipado Dinámico</v>
      </c>
      <c r="G28" s="27"/>
      <c r="H28" s="29"/>
    </row>
    <row r="29" ht="15.75" customHeight="1">
      <c r="A29" s="32">
        <v>2.0</v>
      </c>
      <c r="B29" s="25">
        <f>IFERROR(__xludf.DUMMYFUNCTION("""COMPUTED_VALUE"""),1.0)</f>
        <v>1</v>
      </c>
      <c r="C29" s="29"/>
      <c r="D29" s="25" t="str">
        <f>IFERROR(__xludf.DUMMYFUNCTION("""COMPUTED_VALUE"""),"Análisis Semántico")</f>
        <v>Análisis Semántico</v>
      </c>
      <c r="E29" s="29"/>
      <c r="F29" s="25" t="str">
        <f>IFERROR(__xludf.DUMMYFUNCTION("""COMPUTED_VALUE"""),"Expresiones y Sentencias")</f>
        <v>Expresiones y Sentencias</v>
      </c>
      <c r="G29" s="27"/>
      <c r="H29" s="29"/>
    </row>
    <row r="30" ht="15.75" customHeight="1">
      <c r="A30" s="32">
        <v>3.0</v>
      </c>
      <c r="B30" s="25">
        <f>IFERROR(__xludf.DUMMYFUNCTION("""COMPUTED_VALUE"""),1.0)</f>
        <v>1</v>
      </c>
      <c r="C30" s="29"/>
      <c r="D30" s="25" t="str">
        <f>IFERROR(__xludf.DUMMYFUNCTION("""COMPUTED_VALUE"""),"Análisis Semántico")</f>
        <v>Análisis Semántico</v>
      </c>
      <c r="E30" s="29"/>
      <c r="F30" s="25" t="str">
        <f>IFERROR(__xludf.DUMMYFUNCTION("""COMPUTED_VALUE"""),"Estructuras de Control")</f>
        <v>Estructuras de Control</v>
      </c>
      <c r="G30" s="27"/>
      <c r="H30" s="29"/>
    </row>
    <row r="31" ht="15.75" customHeight="1">
      <c r="A31" s="32">
        <v>4.0</v>
      </c>
      <c r="B31" s="25">
        <f>IFERROR(__xludf.DUMMYFUNCTION("""COMPUTED_VALUE"""),1.0)</f>
        <v>1</v>
      </c>
      <c r="C31" s="29"/>
      <c r="D31" s="25" t="str">
        <f>IFERROR(__xludf.DUMMYFUNCTION("""COMPUTED_VALUE"""),"Análisis Semántico")</f>
        <v>Análisis Semántico</v>
      </c>
      <c r="E31" s="29"/>
      <c r="F31" s="25" t="str">
        <f>IFERROR(__xludf.DUMMYFUNCTION("""COMPUTED_VALUE"""),"Recuperación de Errores")</f>
        <v>Recuperación de Errores</v>
      </c>
      <c r="G31" s="27"/>
      <c r="H31" s="29"/>
    </row>
    <row r="32" ht="15.75" customHeight="1">
      <c r="A32" s="32">
        <v>5.0</v>
      </c>
      <c r="B32" s="25"/>
      <c r="C32" s="29"/>
      <c r="D32" s="25"/>
      <c r="E32" s="29"/>
      <c r="F32" s="25"/>
      <c r="G32" s="27"/>
      <c r="H32" s="29"/>
    </row>
    <row r="33" ht="15.75" customHeight="1">
      <c r="A33" s="32">
        <v>6.0</v>
      </c>
      <c r="B33" s="25"/>
      <c r="C33" s="29"/>
      <c r="D33" s="25"/>
      <c r="E33" s="29"/>
      <c r="F33" s="25"/>
      <c r="G33" s="27"/>
      <c r="H33" s="29"/>
    </row>
    <row r="34" ht="15.75" customHeight="1">
      <c r="A34" s="32">
        <v>7.0</v>
      </c>
      <c r="B34" s="25"/>
      <c r="C34" s="29"/>
      <c r="D34" s="25"/>
      <c r="E34" s="29"/>
      <c r="F34" s="25"/>
      <c r="G34" s="27"/>
      <c r="H34" s="29"/>
    </row>
    <row r="35" ht="15.75" customHeight="1"/>
    <row r="36" ht="15.75" customHeight="1">
      <c r="A36" s="116" t="s">
        <v>207</v>
      </c>
    </row>
    <row r="37" ht="15.75" customHeight="1">
      <c r="A37" s="16"/>
      <c r="B37" s="16"/>
      <c r="C37" s="16"/>
      <c r="D37" s="16"/>
      <c r="E37" s="16"/>
      <c r="F37" s="16"/>
      <c r="G37" s="16"/>
      <c r="H37" s="16"/>
    </row>
    <row r="38">
      <c r="A38" s="97" t="s">
        <v>208</v>
      </c>
      <c r="B38" s="97" t="s">
        <v>70</v>
      </c>
      <c r="C38" s="117" t="s">
        <v>209</v>
      </c>
      <c r="D38" s="118" t="s">
        <v>210</v>
      </c>
      <c r="E38" s="27"/>
      <c r="F38" s="27"/>
      <c r="G38" s="27"/>
      <c r="H38" s="29"/>
      <c r="I38" s="119" t="s">
        <v>129</v>
      </c>
    </row>
    <row r="39" ht="15.75" customHeight="1">
      <c r="A39" s="32" t="s">
        <v>211</v>
      </c>
      <c r="B39" s="32" t="s">
        <v>212</v>
      </c>
      <c r="C39" s="32">
        <v>30.0</v>
      </c>
      <c r="D39" s="60">
        <v>20.0</v>
      </c>
      <c r="E39" s="27"/>
      <c r="F39" s="27"/>
      <c r="G39" s="27"/>
      <c r="H39" s="29"/>
      <c r="I39" s="32" t="str">
        <f t="shared" ref="I39:I42" si="1">IF(D39&lt;=C39,"Correcto", "Corregir")</f>
        <v>Correcto</v>
      </c>
    </row>
    <row r="40" ht="15.75" customHeight="1">
      <c r="A40" s="32" t="s">
        <v>213</v>
      </c>
      <c r="B40" s="32" t="s">
        <v>212</v>
      </c>
      <c r="C40" s="32">
        <v>6.0</v>
      </c>
      <c r="D40" s="25"/>
      <c r="E40" s="27"/>
      <c r="F40" s="27"/>
      <c r="G40" s="27"/>
      <c r="H40" s="29"/>
      <c r="I40" s="32" t="str">
        <f t="shared" si="1"/>
        <v>Correcto</v>
      </c>
    </row>
    <row r="41" ht="15.75" customHeight="1">
      <c r="A41" s="32" t="s">
        <v>214</v>
      </c>
      <c r="B41" s="32" t="s">
        <v>215</v>
      </c>
      <c r="C41" s="32">
        <v>10.0</v>
      </c>
      <c r="D41" s="25"/>
      <c r="E41" s="27"/>
      <c r="F41" s="27"/>
      <c r="G41" s="27"/>
      <c r="H41" s="29"/>
      <c r="I41" s="32" t="str">
        <f t="shared" si="1"/>
        <v>Correcto</v>
      </c>
    </row>
    <row r="42" ht="15.75" customHeight="1">
      <c r="A42" s="32" t="s">
        <v>216</v>
      </c>
      <c r="B42" s="32" t="s">
        <v>212</v>
      </c>
      <c r="C42" s="32">
        <v>30.0</v>
      </c>
      <c r="D42" s="60">
        <v>40.0</v>
      </c>
      <c r="E42" s="27"/>
      <c r="F42" s="27"/>
      <c r="G42" s="27"/>
      <c r="H42" s="29"/>
      <c r="I42" s="32" t="str">
        <f t="shared" si="1"/>
        <v>Corregir</v>
      </c>
    </row>
    <row r="43" ht="15.75" customHeight="1"/>
    <row r="44" ht="15.75" customHeight="1">
      <c r="A44" s="111" t="s">
        <v>217</v>
      </c>
      <c r="G44" s="79" t="s">
        <v>39</v>
      </c>
      <c r="H44" s="115">
        <f>B50</f>
        <v>30</v>
      </c>
    </row>
    <row r="45" ht="15.75" customHeight="1">
      <c r="G45" s="84" t="s">
        <v>218</v>
      </c>
    </row>
    <row r="46" ht="15.75" customHeight="1">
      <c r="A46" s="84" t="s">
        <v>219</v>
      </c>
    </row>
    <row r="47">
      <c r="A47" s="57" t="s">
        <v>220</v>
      </c>
      <c r="B47" s="95" t="s">
        <v>48</v>
      </c>
      <c r="C47" s="27"/>
      <c r="D47" s="27"/>
      <c r="E47" s="27"/>
      <c r="F47" s="27"/>
      <c r="G47" s="27"/>
      <c r="H47" s="29"/>
    </row>
    <row r="48" ht="15.75" customHeight="1">
      <c r="A48" s="57" t="s">
        <v>11</v>
      </c>
      <c r="B48" s="60" t="s">
        <v>221</v>
      </c>
      <c r="C48" s="27"/>
      <c r="D48" s="27"/>
      <c r="E48" s="27"/>
      <c r="F48" s="27"/>
      <c r="G48" s="27"/>
      <c r="H48" s="29"/>
    </row>
    <row r="49" ht="15.75" customHeight="1">
      <c r="A49" s="57" t="s">
        <v>189</v>
      </c>
      <c r="B49" s="60">
        <v>0.0</v>
      </c>
      <c r="C49" s="27"/>
      <c r="D49" s="27"/>
      <c r="E49" s="27"/>
      <c r="F49" s="27"/>
      <c r="G49" s="27"/>
      <c r="H49" s="29"/>
    </row>
    <row r="50" ht="15.75" customHeight="1">
      <c r="A50" s="57" t="s">
        <v>39</v>
      </c>
      <c r="B50" s="60">
        <v>30.0</v>
      </c>
      <c r="C50" s="27"/>
      <c r="D50" s="27"/>
      <c r="E50" s="27"/>
      <c r="F50" s="27"/>
      <c r="G50" s="27"/>
      <c r="H50" s="29"/>
    </row>
    <row r="51" ht="15.75" customHeight="1">
      <c r="A51" s="121" t="s">
        <v>222</v>
      </c>
      <c r="B51" s="16"/>
      <c r="C51" s="16"/>
      <c r="D51" s="16"/>
      <c r="E51" s="16"/>
      <c r="F51" s="16"/>
      <c r="G51" s="16"/>
      <c r="H51" s="16"/>
    </row>
    <row r="52" ht="15.75" customHeight="1">
      <c r="A52" s="113" t="s">
        <v>223</v>
      </c>
      <c r="B52" s="27"/>
      <c r="C52" s="27"/>
      <c r="D52" s="27"/>
      <c r="E52" s="27"/>
      <c r="F52" s="27"/>
      <c r="G52" s="27"/>
      <c r="H52" s="29"/>
    </row>
    <row r="53" ht="15.75" customHeight="1">
      <c r="A53" s="114" t="s">
        <v>245</v>
      </c>
      <c r="B53" s="102"/>
      <c r="C53" s="102"/>
      <c r="D53" s="102"/>
      <c r="E53" s="102"/>
      <c r="F53" s="102"/>
      <c r="G53" s="102"/>
      <c r="H53" s="103"/>
    </row>
    <row r="54" ht="15.75" customHeight="1">
      <c r="A54" s="122"/>
      <c r="H54" s="123"/>
    </row>
    <row r="55" ht="15.75" customHeight="1">
      <c r="A55" s="104"/>
      <c r="B55" s="105"/>
      <c r="C55" s="105"/>
      <c r="D55" s="105"/>
      <c r="E55" s="105"/>
      <c r="F55" s="105"/>
      <c r="G55" s="105"/>
      <c r="H55" s="106"/>
    </row>
    <row r="56" ht="15.75" customHeight="1"/>
    <row r="57" ht="15.75" customHeight="1">
      <c r="A57" s="84" t="s">
        <v>228</v>
      </c>
    </row>
    <row r="58">
      <c r="A58" s="57" t="s">
        <v>220</v>
      </c>
      <c r="B58" s="25"/>
      <c r="C58" s="27"/>
      <c r="D58" s="27"/>
      <c r="E58" s="27"/>
      <c r="F58" s="27"/>
      <c r="G58" s="27"/>
      <c r="H58" s="29"/>
    </row>
    <row r="59" ht="15.75" customHeight="1">
      <c r="A59" s="57" t="s">
        <v>11</v>
      </c>
      <c r="B59" s="25"/>
      <c r="C59" s="27"/>
      <c r="D59" s="27"/>
      <c r="E59" s="27"/>
      <c r="F59" s="27"/>
      <c r="G59" s="27"/>
      <c r="H59" s="29"/>
    </row>
    <row r="60" ht="15.75" customHeight="1">
      <c r="A60" s="57" t="s">
        <v>189</v>
      </c>
      <c r="B60" s="128"/>
      <c r="C60" s="27"/>
      <c r="D60" s="27"/>
      <c r="E60" s="27"/>
      <c r="F60" s="27"/>
      <c r="G60" s="27"/>
      <c r="H60" s="29"/>
    </row>
    <row r="61" ht="15.75" customHeight="1">
      <c r="A61" s="57" t="s">
        <v>39</v>
      </c>
      <c r="B61" s="128"/>
      <c r="C61" s="27"/>
      <c r="D61" s="27"/>
      <c r="E61" s="27"/>
      <c r="F61" s="27"/>
      <c r="G61" s="27"/>
      <c r="H61" s="29"/>
    </row>
    <row r="62" ht="15.75" customHeight="1">
      <c r="A62" s="129" t="s">
        <v>232</v>
      </c>
      <c r="B62" s="16"/>
      <c r="C62" s="16"/>
      <c r="D62" s="16"/>
      <c r="E62" s="16"/>
      <c r="F62" s="16"/>
      <c r="G62" s="16"/>
      <c r="H62" s="16"/>
    </row>
    <row r="63" ht="15.75" customHeight="1">
      <c r="A63" s="113" t="s">
        <v>223</v>
      </c>
      <c r="B63" s="27"/>
      <c r="C63" s="27"/>
      <c r="D63" s="27"/>
      <c r="E63" s="27"/>
      <c r="F63" s="27"/>
      <c r="G63" s="27"/>
      <c r="H63" s="29"/>
    </row>
    <row r="64" ht="15.75" customHeight="1">
      <c r="A64" s="130"/>
      <c r="B64" s="102"/>
      <c r="C64" s="102"/>
      <c r="D64" s="102"/>
      <c r="E64" s="102"/>
      <c r="F64" s="102"/>
      <c r="G64" s="102"/>
      <c r="H64" s="103"/>
    </row>
    <row r="65" ht="15.75" customHeight="1">
      <c r="A65" s="122"/>
      <c r="H65" s="123"/>
    </row>
    <row r="66" ht="15.75" customHeight="1">
      <c r="A66" s="104"/>
      <c r="B66" s="105"/>
      <c r="C66" s="105"/>
      <c r="D66" s="105"/>
      <c r="E66" s="105"/>
      <c r="F66" s="105"/>
      <c r="G66" s="105"/>
      <c r="H66" s="106"/>
    </row>
    <row r="67" ht="15.75" customHeight="1"/>
    <row r="68" ht="15.75" customHeight="1">
      <c r="A68" s="111" t="s">
        <v>234</v>
      </c>
      <c r="G68" s="79" t="s">
        <v>39</v>
      </c>
      <c r="H68" s="112">
        <f>B70</f>
        <v>5</v>
      </c>
    </row>
    <row r="69" ht="15.75" customHeight="1">
      <c r="G69" s="84" t="s">
        <v>235</v>
      </c>
    </row>
    <row r="70" ht="15.75" customHeight="1">
      <c r="A70" s="57" t="s">
        <v>39</v>
      </c>
      <c r="B70" s="60">
        <v>5.0</v>
      </c>
      <c r="C70" s="27"/>
      <c r="D70" s="27"/>
      <c r="E70" s="27"/>
      <c r="F70" s="27"/>
      <c r="G70" s="27"/>
      <c r="H70" s="29"/>
    </row>
    <row r="71" ht="15.75" customHeight="1">
      <c r="A71" s="118" t="s">
        <v>236</v>
      </c>
      <c r="B71" s="27"/>
      <c r="C71" s="27"/>
      <c r="D71" s="27"/>
      <c r="E71" s="27"/>
      <c r="F71" s="27"/>
      <c r="G71" s="27"/>
      <c r="H71" s="29"/>
    </row>
    <row r="72" ht="15.75" customHeight="1">
      <c r="A72" s="130"/>
      <c r="B72" s="102"/>
      <c r="C72" s="102"/>
      <c r="D72" s="102"/>
      <c r="E72" s="102"/>
      <c r="F72" s="102"/>
      <c r="G72" s="102"/>
      <c r="H72" s="103"/>
    </row>
    <row r="73" ht="15.75" customHeight="1">
      <c r="A73" s="104"/>
      <c r="B73" s="105"/>
      <c r="C73" s="105"/>
      <c r="D73" s="105"/>
      <c r="E73" s="105"/>
      <c r="F73" s="105"/>
      <c r="G73" s="105"/>
      <c r="H73" s="106"/>
    </row>
    <row r="74" ht="15.75" customHeight="1">
      <c r="A74" s="84" t="s">
        <v>237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7" t="s">
        <v>188</v>
      </c>
    </row>
    <row r="3" ht="15.75" customHeight="1"/>
    <row r="4" ht="15.75" customHeight="1">
      <c r="B4" s="12" t="s">
        <v>1</v>
      </c>
      <c r="C4" s="107" t="str">
        <f>'Diseño'!C4</f>
        <v>781 - Organización de Lenguajes y Compiladores 2</v>
      </c>
      <c r="D4" s="27"/>
      <c r="E4" s="27"/>
      <c r="F4" s="27"/>
      <c r="G4" s="29"/>
    </row>
    <row r="5" ht="15.75" customHeight="1">
      <c r="B5" s="32" t="s">
        <v>22</v>
      </c>
      <c r="C5" s="25">
        <v>5.0</v>
      </c>
      <c r="D5" s="27"/>
      <c r="E5" s="27"/>
      <c r="F5" s="27"/>
      <c r="G5" s="29"/>
    </row>
    <row r="6" ht="15.75" customHeight="1">
      <c r="B6" s="108" t="s">
        <v>28</v>
      </c>
      <c r="C6" s="25">
        <f>H10+H21+H44+H68</f>
        <v>100</v>
      </c>
      <c r="D6" s="27"/>
      <c r="E6" s="27"/>
      <c r="F6" s="27"/>
      <c r="G6" s="29"/>
      <c r="I6" s="16"/>
    </row>
    <row r="7" ht="15.75" customHeight="1">
      <c r="B7" s="108" t="s">
        <v>189</v>
      </c>
      <c r="C7" s="25">
        <f>B49+B60</f>
        <v>0</v>
      </c>
      <c r="D7" s="27"/>
      <c r="E7" s="27"/>
      <c r="F7" s="27"/>
      <c r="G7" s="29"/>
    </row>
    <row r="8" ht="15.75" customHeight="1">
      <c r="B8" s="108" t="s">
        <v>190</v>
      </c>
      <c r="C8" s="110" t="str">
        <f>IF(H44&lt;=0, "❌ ERROR: La Actividad 1 debe tener un tiempo mayor a 0.", IF(H21&gt;60, "❌ ERROR: El 'Área de Conocimiento' no puede exceder los 60 min.", IF(C6&lt;100, "❌ ERROR: El tiempo total debe ser de al menos 100 min.", "✅ VALIDACIÓN CORRECTA")))</f>
        <v>✅ VALIDACIÓN CORRECTA</v>
      </c>
      <c r="D8" s="27"/>
      <c r="E8" s="27"/>
      <c r="F8" s="27"/>
      <c r="G8" s="29"/>
      <c r="I8" s="16"/>
      <c r="J8" s="16"/>
      <c r="K8" s="16"/>
    </row>
    <row r="9" ht="15.75" customHeight="1"/>
    <row r="10" ht="15.75" customHeight="1">
      <c r="A10" s="111" t="s">
        <v>191</v>
      </c>
      <c r="G10" s="79" t="s">
        <v>39</v>
      </c>
      <c r="H10" s="112">
        <v>5.0</v>
      </c>
    </row>
    <row r="11" ht="15.75" customHeight="1">
      <c r="G11" s="84" t="s">
        <v>202</v>
      </c>
    </row>
    <row r="12" ht="15.75" customHeight="1">
      <c r="A12" s="57" t="s">
        <v>193</v>
      </c>
      <c r="B12" s="60" t="s">
        <v>239</v>
      </c>
      <c r="C12" s="27"/>
      <c r="D12" s="27"/>
      <c r="E12" s="27"/>
      <c r="F12" s="27"/>
      <c r="G12" s="27"/>
      <c r="H12" s="29"/>
    </row>
    <row r="13" ht="15.75" customHeight="1">
      <c r="A13" s="65" t="s">
        <v>39</v>
      </c>
      <c r="B13" s="25"/>
      <c r="C13" s="27"/>
      <c r="D13" s="27"/>
      <c r="E13" s="27"/>
      <c r="F13" s="27"/>
      <c r="G13" s="27"/>
      <c r="H13" s="29"/>
    </row>
    <row r="14" ht="15.75" customHeight="1">
      <c r="A14" s="113" t="s">
        <v>195</v>
      </c>
      <c r="B14" s="27"/>
      <c r="C14" s="27"/>
      <c r="D14" s="27"/>
      <c r="E14" s="27"/>
      <c r="F14" s="27"/>
      <c r="G14" s="27"/>
      <c r="H14" s="29"/>
    </row>
    <row r="15" ht="15.75" customHeight="1">
      <c r="A15" s="101" t="s">
        <v>240</v>
      </c>
      <c r="B15" s="102"/>
      <c r="C15" s="102"/>
      <c r="D15" s="102"/>
      <c r="E15" s="102"/>
      <c r="F15" s="102"/>
      <c r="G15" s="102"/>
      <c r="H15" s="103"/>
    </row>
    <row r="16" ht="15.75" customHeight="1">
      <c r="A16" s="104"/>
      <c r="B16" s="105"/>
      <c r="C16" s="105"/>
      <c r="D16" s="105"/>
      <c r="E16" s="105"/>
      <c r="F16" s="105"/>
      <c r="G16" s="105"/>
      <c r="H16" s="106"/>
    </row>
    <row r="17" ht="15.75" customHeight="1">
      <c r="A17" s="113" t="s">
        <v>197</v>
      </c>
      <c r="B17" s="27"/>
      <c r="C17" s="27"/>
      <c r="D17" s="27"/>
      <c r="E17" s="27"/>
      <c r="F17" s="27"/>
      <c r="G17" s="27"/>
      <c r="H17" s="29"/>
    </row>
    <row r="18" ht="15.75" customHeight="1">
      <c r="A18" s="131" t="s">
        <v>242</v>
      </c>
      <c r="B18" s="102"/>
      <c r="C18" s="102"/>
      <c r="D18" s="102"/>
      <c r="E18" s="102"/>
      <c r="F18" s="102"/>
      <c r="G18" s="102"/>
      <c r="H18" s="103"/>
    </row>
    <row r="19" ht="15.75" customHeight="1">
      <c r="A19" s="104"/>
      <c r="B19" s="105"/>
      <c r="C19" s="105"/>
      <c r="D19" s="105"/>
      <c r="E19" s="105"/>
      <c r="F19" s="105"/>
      <c r="G19" s="105"/>
      <c r="H19" s="106"/>
    </row>
    <row r="20" ht="15.75" customHeight="1"/>
    <row r="21" ht="15.75" customHeight="1">
      <c r="A21" s="111" t="s">
        <v>199</v>
      </c>
      <c r="G21" s="79" t="s">
        <v>39</v>
      </c>
      <c r="H21" s="112">
        <v>55.0</v>
      </c>
      <c r="I21" s="16"/>
    </row>
    <row r="22" ht="15.75" customHeight="1">
      <c r="G22" s="84" t="s">
        <v>200</v>
      </c>
    </row>
    <row r="23" ht="15.75" customHeight="1">
      <c r="A23" s="57" t="s">
        <v>201</v>
      </c>
      <c r="B23" s="60" t="s">
        <v>67</v>
      </c>
      <c r="C23" s="27"/>
      <c r="D23" s="27"/>
      <c r="E23" s="27"/>
      <c r="F23" s="27"/>
      <c r="G23" s="27"/>
      <c r="H23" s="29"/>
    </row>
    <row r="24" ht="15.75" customHeight="1">
      <c r="A24" s="57" t="s">
        <v>201</v>
      </c>
      <c r="B24" s="60" t="s">
        <v>48</v>
      </c>
      <c r="C24" s="27"/>
      <c r="D24" s="27"/>
      <c r="E24" s="27"/>
      <c r="F24" s="27"/>
      <c r="G24" s="27"/>
      <c r="H24" s="29"/>
    </row>
    <row r="25" ht="15.75" customHeight="1"/>
    <row r="26" ht="15.75" customHeight="1">
      <c r="A26" s="116" t="s">
        <v>205</v>
      </c>
      <c r="B26" s="16"/>
      <c r="C26" s="16"/>
      <c r="D26" s="16"/>
    </row>
    <row r="27" ht="15.75" customHeight="1">
      <c r="A27" s="97" t="s">
        <v>16</v>
      </c>
      <c r="B27" s="98" t="s">
        <v>164</v>
      </c>
      <c r="C27" s="29"/>
      <c r="D27" s="98" t="s">
        <v>168</v>
      </c>
      <c r="E27" s="29"/>
      <c r="F27" s="98" t="s">
        <v>169</v>
      </c>
      <c r="G27" s="27"/>
      <c r="H27" s="29"/>
    </row>
    <row r="28" ht="15.75" customHeight="1">
      <c r="A28" s="32">
        <v>1.0</v>
      </c>
      <c r="B28" s="60">
        <v>2.0</v>
      </c>
      <c r="C28" s="29"/>
      <c r="D28" s="132" t="s">
        <v>68</v>
      </c>
      <c r="E28" s="106"/>
      <c r="F28" s="60" t="s">
        <v>69</v>
      </c>
      <c r="G28" s="27"/>
      <c r="H28" s="29"/>
    </row>
    <row r="29" ht="15.75" customHeight="1">
      <c r="A29" s="32">
        <v>2.0</v>
      </c>
      <c r="B29" s="60">
        <v>2.0</v>
      </c>
      <c r="C29" s="29"/>
      <c r="D29" s="133" t="s">
        <v>68</v>
      </c>
      <c r="E29" s="106"/>
      <c r="F29" s="60" t="s">
        <v>73</v>
      </c>
      <c r="G29" s="27"/>
      <c r="H29" s="29"/>
    </row>
    <row r="30" ht="15.75" customHeight="1">
      <c r="A30" s="32">
        <v>3.0</v>
      </c>
      <c r="B30" s="60">
        <v>2.0</v>
      </c>
      <c r="C30" s="29"/>
      <c r="D30" s="133" t="s">
        <v>68</v>
      </c>
      <c r="E30" s="106"/>
      <c r="F30" s="60" t="s">
        <v>75</v>
      </c>
      <c r="G30" s="27"/>
      <c r="H30" s="29"/>
    </row>
    <row r="31" ht="15.75" customHeight="1">
      <c r="A31" s="32">
        <v>4.0</v>
      </c>
      <c r="B31" s="60">
        <v>2.0</v>
      </c>
      <c r="C31" s="29"/>
      <c r="D31" s="133" t="s">
        <v>68</v>
      </c>
      <c r="E31" s="106"/>
      <c r="F31" s="60" t="s">
        <v>76</v>
      </c>
      <c r="G31" s="27"/>
      <c r="H31" s="29"/>
    </row>
    <row r="32" ht="15.75" customHeight="1">
      <c r="A32" s="32">
        <v>5.0</v>
      </c>
      <c r="B32" s="60">
        <v>2.0</v>
      </c>
      <c r="C32" s="29"/>
      <c r="D32" s="133" t="s">
        <v>68</v>
      </c>
      <c r="E32" s="106"/>
      <c r="F32" s="60" t="s">
        <v>78</v>
      </c>
      <c r="G32" s="27"/>
      <c r="H32" s="29"/>
    </row>
    <row r="33" ht="15.75" customHeight="1">
      <c r="A33" s="32">
        <v>6.0</v>
      </c>
      <c r="B33" s="25"/>
      <c r="C33" s="29"/>
      <c r="D33" s="25"/>
      <c r="E33" s="29"/>
      <c r="F33" s="25"/>
      <c r="G33" s="27"/>
      <c r="H33" s="29"/>
    </row>
    <row r="34" ht="15.75" customHeight="1">
      <c r="A34" s="32">
        <v>7.0</v>
      </c>
      <c r="B34" s="25"/>
      <c r="C34" s="29"/>
      <c r="D34" s="25"/>
      <c r="E34" s="29"/>
      <c r="F34" s="25"/>
      <c r="G34" s="27"/>
      <c r="H34" s="29"/>
    </row>
    <row r="35" ht="15.75" customHeight="1"/>
    <row r="36" ht="15.75" customHeight="1">
      <c r="A36" s="116" t="s">
        <v>207</v>
      </c>
    </row>
    <row r="37" ht="15.75" customHeight="1">
      <c r="A37" s="16"/>
      <c r="B37" s="16"/>
      <c r="C37" s="16"/>
      <c r="D37" s="16"/>
      <c r="E37" s="16"/>
      <c r="F37" s="16"/>
      <c r="G37" s="16"/>
      <c r="H37" s="16"/>
    </row>
    <row r="38">
      <c r="A38" s="97" t="s">
        <v>208</v>
      </c>
      <c r="B38" s="97" t="s">
        <v>70</v>
      </c>
      <c r="C38" s="117" t="s">
        <v>209</v>
      </c>
      <c r="D38" s="118" t="s">
        <v>210</v>
      </c>
      <c r="E38" s="27"/>
      <c r="F38" s="27"/>
      <c r="G38" s="27"/>
      <c r="H38" s="29"/>
      <c r="I38" s="119" t="s">
        <v>129</v>
      </c>
    </row>
    <row r="39" ht="15.75" customHeight="1">
      <c r="A39" s="32" t="s">
        <v>211</v>
      </c>
      <c r="B39" s="32" t="s">
        <v>212</v>
      </c>
      <c r="C39" s="32">
        <v>30.0</v>
      </c>
      <c r="D39" s="60">
        <v>30.0</v>
      </c>
      <c r="E39" s="27"/>
      <c r="F39" s="27"/>
      <c r="G39" s="27"/>
      <c r="H39" s="29"/>
      <c r="I39" s="32" t="str">
        <f t="shared" ref="I39:I42" si="1">IF(D39&lt;=C39,"Correcto", "Corregir")</f>
        <v>Correcto</v>
      </c>
    </row>
    <row r="40" ht="15.75" customHeight="1">
      <c r="A40" s="32" t="s">
        <v>213</v>
      </c>
      <c r="B40" s="32" t="s">
        <v>212</v>
      </c>
      <c r="C40" s="32">
        <v>6.0</v>
      </c>
      <c r="D40" s="25"/>
      <c r="E40" s="27"/>
      <c r="F40" s="27"/>
      <c r="G40" s="27"/>
      <c r="H40" s="29"/>
      <c r="I40" s="32" t="str">
        <f t="shared" si="1"/>
        <v>Correcto</v>
      </c>
    </row>
    <row r="41" ht="15.75" customHeight="1">
      <c r="A41" s="32" t="s">
        <v>214</v>
      </c>
      <c r="B41" s="32" t="s">
        <v>215</v>
      </c>
      <c r="C41" s="32">
        <v>10.0</v>
      </c>
      <c r="D41" s="25"/>
      <c r="E41" s="27"/>
      <c r="F41" s="27"/>
      <c r="G41" s="27"/>
      <c r="H41" s="29"/>
      <c r="I41" s="32" t="str">
        <f t="shared" si="1"/>
        <v>Correcto</v>
      </c>
    </row>
    <row r="42" ht="15.75" customHeight="1">
      <c r="A42" s="32" t="s">
        <v>216</v>
      </c>
      <c r="B42" s="32" t="s">
        <v>212</v>
      </c>
      <c r="C42" s="32">
        <v>30.0</v>
      </c>
      <c r="D42" s="60">
        <v>30.0</v>
      </c>
      <c r="E42" s="27"/>
      <c r="F42" s="27"/>
      <c r="G42" s="27"/>
      <c r="H42" s="29"/>
      <c r="I42" s="32" t="str">
        <f t="shared" si="1"/>
        <v>Correcto</v>
      </c>
    </row>
    <row r="43" ht="15.75" customHeight="1"/>
    <row r="44" ht="15.75" customHeight="1">
      <c r="A44" s="111" t="s">
        <v>217</v>
      </c>
      <c r="G44" s="79" t="s">
        <v>39</v>
      </c>
      <c r="H44" s="112">
        <v>30.0</v>
      </c>
    </row>
    <row r="45" ht="15.75" customHeight="1">
      <c r="G45" s="84" t="s">
        <v>218</v>
      </c>
    </row>
    <row r="46" ht="15.75" customHeight="1">
      <c r="A46" s="84" t="s">
        <v>219</v>
      </c>
    </row>
    <row r="47">
      <c r="A47" s="57" t="s">
        <v>220</v>
      </c>
      <c r="B47" s="60" t="s">
        <v>67</v>
      </c>
      <c r="C47" s="27"/>
      <c r="D47" s="27"/>
      <c r="E47" s="27"/>
      <c r="F47" s="27"/>
      <c r="G47" s="27"/>
      <c r="H47" s="29"/>
    </row>
    <row r="48" ht="15.75" customHeight="1">
      <c r="A48" s="57" t="s">
        <v>11</v>
      </c>
      <c r="B48" s="60" t="s">
        <v>221</v>
      </c>
      <c r="C48" s="27"/>
      <c r="D48" s="27"/>
      <c r="E48" s="27"/>
      <c r="F48" s="27"/>
      <c r="G48" s="27"/>
      <c r="H48" s="29"/>
    </row>
    <row r="49" ht="15.75" customHeight="1">
      <c r="A49" s="57" t="s">
        <v>189</v>
      </c>
      <c r="B49" s="127">
        <v>0.0</v>
      </c>
      <c r="C49" s="27"/>
      <c r="D49" s="27"/>
      <c r="E49" s="27"/>
      <c r="F49" s="27"/>
      <c r="G49" s="27"/>
      <c r="H49" s="29"/>
    </row>
    <row r="50" ht="15.75" customHeight="1">
      <c r="A50" s="57" t="s">
        <v>39</v>
      </c>
      <c r="B50" s="60">
        <v>30.0</v>
      </c>
      <c r="C50" s="27"/>
      <c r="D50" s="27"/>
      <c r="E50" s="27"/>
      <c r="F50" s="27"/>
      <c r="G50" s="27"/>
      <c r="H50" s="29"/>
    </row>
    <row r="51" ht="15.75" customHeight="1">
      <c r="A51" s="121" t="s">
        <v>222</v>
      </c>
      <c r="B51" s="16"/>
      <c r="C51" s="16"/>
      <c r="D51" s="16"/>
      <c r="E51" s="16"/>
      <c r="F51" s="16"/>
      <c r="G51" s="16"/>
      <c r="H51" s="16"/>
    </row>
    <row r="52" ht="15.75" customHeight="1">
      <c r="A52" s="113" t="s">
        <v>223</v>
      </c>
      <c r="B52" s="27"/>
      <c r="C52" s="27"/>
      <c r="D52" s="27"/>
      <c r="E52" s="27"/>
      <c r="F52" s="27"/>
      <c r="G52" s="27"/>
      <c r="H52" s="29"/>
    </row>
    <row r="53" ht="15.75" customHeight="1">
      <c r="A53" s="126" t="s">
        <v>244</v>
      </c>
      <c r="B53" s="102"/>
      <c r="C53" s="102"/>
      <c r="D53" s="102"/>
      <c r="E53" s="102"/>
      <c r="F53" s="102"/>
      <c r="G53" s="102"/>
      <c r="H53" s="103"/>
    </row>
    <row r="54" ht="15.75" customHeight="1">
      <c r="A54" s="122"/>
      <c r="H54" s="123"/>
    </row>
    <row r="55" ht="15.75" customHeight="1">
      <c r="A55" s="104"/>
      <c r="B55" s="105"/>
      <c r="C55" s="105"/>
      <c r="D55" s="105"/>
      <c r="E55" s="105"/>
      <c r="F55" s="105"/>
      <c r="G55" s="105"/>
      <c r="H55" s="106"/>
    </row>
    <row r="56" ht="15.75" customHeight="1"/>
    <row r="57" ht="15.75" customHeight="1">
      <c r="A57" s="84" t="s">
        <v>228</v>
      </c>
    </row>
    <row r="58">
      <c r="A58" s="57" t="s">
        <v>220</v>
      </c>
      <c r="B58" s="25"/>
      <c r="C58" s="27"/>
      <c r="D58" s="27"/>
      <c r="E58" s="27"/>
      <c r="F58" s="27"/>
      <c r="G58" s="27"/>
      <c r="H58" s="29"/>
    </row>
    <row r="59" ht="15.75" customHeight="1">
      <c r="A59" s="57" t="s">
        <v>11</v>
      </c>
      <c r="B59" s="25"/>
      <c r="C59" s="27"/>
      <c r="D59" s="27"/>
      <c r="E59" s="27"/>
      <c r="F59" s="27"/>
      <c r="G59" s="27"/>
      <c r="H59" s="29"/>
    </row>
    <row r="60" ht="15.75" customHeight="1">
      <c r="A60" s="57" t="s">
        <v>189</v>
      </c>
      <c r="B60" s="128"/>
      <c r="C60" s="27"/>
      <c r="D60" s="27"/>
      <c r="E60" s="27"/>
      <c r="F60" s="27"/>
      <c r="G60" s="27"/>
      <c r="H60" s="29"/>
    </row>
    <row r="61" ht="15.75" customHeight="1">
      <c r="A61" s="57" t="s">
        <v>39</v>
      </c>
      <c r="B61" s="128"/>
      <c r="C61" s="27"/>
      <c r="D61" s="27"/>
      <c r="E61" s="27"/>
      <c r="F61" s="27"/>
      <c r="G61" s="27"/>
      <c r="H61" s="29"/>
    </row>
    <row r="62" ht="15.75" customHeight="1">
      <c r="A62" s="129" t="s">
        <v>232</v>
      </c>
      <c r="B62" s="16"/>
      <c r="C62" s="16"/>
      <c r="D62" s="16"/>
      <c r="E62" s="16"/>
      <c r="F62" s="16"/>
      <c r="G62" s="16"/>
      <c r="H62" s="16"/>
    </row>
    <row r="63" ht="15.75" customHeight="1">
      <c r="A63" s="113" t="s">
        <v>223</v>
      </c>
      <c r="B63" s="27"/>
      <c r="C63" s="27"/>
      <c r="D63" s="27"/>
      <c r="E63" s="27"/>
      <c r="F63" s="27"/>
      <c r="G63" s="27"/>
      <c r="H63" s="29"/>
    </row>
    <row r="64" ht="15.75" customHeight="1">
      <c r="A64" s="130"/>
      <c r="B64" s="102"/>
      <c r="C64" s="102"/>
      <c r="D64" s="102"/>
      <c r="E64" s="102"/>
      <c r="F64" s="102"/>
      <c r="G64" s="102"/>
      <c r="H64" s="103"/>
    </row>
    <row r="65" ht="15.75" customHeight="1">
      <c r="A65" s="122"/>
      <c r="H65" s="123"/>
    </row>
    <row r="66" ht="15.75" customHeight="1">
      <c r="A66" s="104"/>
      <c r="B66" s="105"/>
      <c r="C66" s="105"/>
      <c r="D66" s="105"/>
      <c r="E66" s="105"/>
      <c r="F66" s="105"/>
      <c r="G66" s="105"/>
      <c r="H66" s="106"/>
    </row>
    <row r="67" ht="15.75" customHeight="1"/>
    <row r="68" ht="15.75" customHeight="1">
      <c r="A68" s="111" t="s">
        <v>234</v>
      </c>
      <c r="G68" s="79" t="s">
        <v>39</v>
      </c>
      <c r="H68" s="112">
        <v>10.0</v>
      </c>
    </row>
    <row r="69" ht="15.75" customHeight="1">
      <c r="G69" s="84" t="s">
        <v>235</v>
      </c>
    </row>
    <row r="70" ht="15.75" customHeight="1">
      <c r="A70" s="57" t="s">
        <v>39</v>
      </c>
      <c r="B70" s="127"/>
      <c r="C70" s="27"/>
      <c r="D70" s="27"/>
      <c r="E70" s="27"/>
      <c r="F70" s="27"/>
      <c r="G70" s="27"/>
      <c r="H70" s="29"/>
    </row>
    <row r="71" ht="15.75" customHeight="1">
      <c r="A71" s="118" t="s">
        <v>236</v>
      </c>
      <c r="B71" s="27"/>
      <c r="C71" s="27"/>
      <c r="D71" s="27"/>
      <c r="E71" s="27"/>
      <c r="F71" s="27"/>
      <c r="G71" s="27"/>
      <c r="H71" s="29"/>
    </row>
    <row r="72" ht="15.75" customHeight="1">
      <c r="A72" s="134" t="s">
        <v>246</v>
      </c>
      <c r="B72" s="102"/>
      <c r="C72" s="102"/>
      <c r="D72" s="102"/>
      <c r="E72" s="102"/>
      <c r="F72" s="102"/>
      <c r="G72" s="102"/>
      <c r="H72" s="103"/>
    </row>
    <row r="73" ht="15.75" customHeight="1">
      <c r="A73" s="104"/>
      <c r="B73" s="105"/>
      <c r="C73" s="105"/>
      <c r="D73" s="105"/>
      <c r="E73" s="105"/>
      <c r="F73" s="105"/>
      <c r="G73" s="105"/>
      <c r="H73" s="106"/>
    </row>
    <row r="74" ht="15.75" customHeight="1">
      <c r="A74" s="84" t="s">
        <v>237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7" t="s">
        <v>188</v>
      </c>
    </row>
    <row r="3" ht="15.75" customHeight="1"/>
    <row r="4" ht="15.75" customHeight="1">
      <c r="B4" s="12" t="s">
        <v>1</v>
      </c>
      <c r="C4" s="107" t="str">
        <f>'Diseño'!C4</f>
        <v>781 - Organización de Lenguajes y Compiladores 2</v>
      </c>
      <c r="D4" s="27"/>
      <c r="E4" s="27"/>
      <c r="F4" s="27"/>
      <c r="G4" s="29"/>
    </row>
    <row r="5" ht="15.75" customHeight="1">
      <c r="B5" s="32" t="s">
        <v>22</v>
      </c>
      <c r="C5" s="25">
        <v>6.0</v>
      </c>
      <c r="D5" s="27"/>
      <c r="E5" s="27"/>
      <c r="F5" s="27"/>
      <c r="G5" s="29"/>
    </row>
    <row r="6" ht="15.75" customHeight="1">
      <c r="B6" s="108" t="s">
        <v>28</v>
      </c>
      <c r="C6" s="25">
        <f>H10+H21+H44+H68</f>
        <v>100</v>
      </c>
      <c r="D6" s="27"/>
      <c r="E6" s="27"/>
      <c r="F6" s="27"/>
      <c r="G6" s="29"/>
      <c r="I6" s="16"/>
    </row>
    <row r="7" ht="15.75" customHeight="1">
      <c r="B7" s="108" t="s">
        <v>189</v>
      </c>
      <c r="C7" s="25">
        <f>B49+B60</f>
        <v>0</v>
      </c>
      <c r="D7" s="27"/>
      <c r="E7" s="27"/>
      <c r="F7" s="27"/>
      <c r="G7" s="29"/>
    </row>
    <row r="8" ht="15.75" customHeight="1">
      <c r="B8" s="108" t="s">
        <v>190</v>
      </c>
      <c r="C8" s="110" t="str">
        <f>IF(H44&lt;=0, "❌ ERROR: La Actividad 1 debe tener un tiempo mayor a 0.", IF(H21&gt;60, "❌ ERROR: El 'Área de Conocimiento' no puede exceder los 60 min.", IF(C6&lt;100, "❌ ERROR: El tiempo total debe ser de al menos 100 min.", "✅ VALIDACIÓN CORRECTA")))</f>
        <v>✅ VALIDACIÓN CORRECTA</v>
      </c>
      <c r="D8" s="27"/>
      <c r="E8" s="27"/>
      <c r="F8" s="27"/>
      <c r="G8" s="29"/>
      <c r="I8" s="16"/>
      <c r="J8" s="16"/>
      <c r="K8" s="16"/>
    </row>
    <row r="9" ht="15.75" customHeight="1"/>
    <row r="10" ht="15.75" customHeight="1">
      <c r="A10" s="111" t="s">
        <v>191</v>
      </c>
      <c r="G10" s="79" t="s">
        <v>39</v>
      </c>
      <c r="H10" s="112">
        <v>5.0</v>
      </c>
    </row>
    <row r="11" ht="15.75" customHeight="1">
      <c r="G11" s="84" t="s">
        <v>202</v>
      </c>
    </row>
    <row r="12" ht="15.75" customHeight="1">
      <c r="A12" s="57" t="s">
        <v>193</v>
      </c>
      <c r="B12" s="53" t="s">
        <v>247</v>
      </c>
      <c r="C12" s="27"/>
      <c r="D12" s="27"/>
      <c r="E12" s="27"/>
      <c r="F12" s="27"/>
      <c r="G12" s="27"/>
      <c r="H12" s="29"/>
    </row>
    <row r="13" ht="15.75" customHeight="1">
      <c r="A13" s="65" t="s">
        <v>39</v>
      </c>
      <c r="B13" s="25"/>
      <c r="C13" s="27"/>
      <c r="D13" s="27"/>
      <c r="E13" s="27"/>
      <c r="F13" s="27"/>
      <c r="G13" s="27"/>
      <c r="H13" s="29"/>
    </row>
    <row r="14" ht="15.75" customHeight="1">
      <c r="A14" s="113" t="s">
        <v>195</v>
      </c>
      <c r="B14" s="27"/>
      <c r="C14" s="27"/>
      <c r="D14" s="27"/>
      <c r="E14" s="27"/>
      <c r="F14" s="27"/>
      <c r="G14" s="27"/>
      <c r="H14" s="29"/>
    </row>
    <row r="15" ht="15.75" customHeight="1">
      <c r="A15" s="101" t="s">
        <v>249</v>
      </c>
      <c r="B15" s="102"/>
      <c r="C15" s="102"/>
      <c r="D15" s="102"/>
      <c r="E15" s="102"/>
      <c r="F15" s="102"/>
      <c r="G15" s="102"/>
      <c r="H15" s="103"/>
    </row>
    <row r="16" ht="15.75" customHeight="1">
      <c r="A16" s="104"/>
      <c r="B16" s="105"/>
      <c r="C16" s="105"/>
      <c r="D16" s="105"/>
      <c r="E16" s="105"/>
      <c r="F16" s="105"/>
      <c r="G16" s="105"/>
      <c r="H16" s="106"/>
    </row>
    <row r="17" ht="15.75" customHeight="1">
      <c r="A17" s="113" t="s">
        <v>197</v>
      </c>
      <c r="B17" s="27"/>
      <c r="C17" s="27"/>
      <c r="D17" s="27"/>
      <c r="E17" s="27"/>
      <c r="F17" s="27"/>
      <c r="G17" s="27"/>
      <c r="H17" s="29"/>
    </row>
    <row r="18" ht="15.75" customHeight="1">
      <c r="A18" s="136" t="s">
        <v>251</v>
      </c>
      <c r="B18" s="102"/>
      <c r="C18" s="102"/>
      <c r="D18" s="102"/>
      <c r="E18" s="102"/>
      <c r="F18" s="102"/>
      <c r="G18" s="102"/>
      <c r="H18" s="103"/>
    </row>
    <row r="19" ht="15.75" customHeight="1">
      <c r="A19" s="104"/>
      <c r="B19" s="105"/>
      <c r="C19" s="105"/>
      <c r="D19" s="105"/>
      <c r="E19" s="105"/>
      <c r="F19" s="105"/>
      <c r="G19" s="105"/>
      <c r="H19" s="106"/>
    </row>
    <row r="20" ht="15.75" customHeight="1"/>
    <row r="21" ht="15.75" customHeight="1">
      <c r="A21" s="111" t="s">
        <v>199</v>
      </c>
      <c r="G21" s="79" t="s">
        <v>39</v>
      </c>
      <c r="H21" s="112">
        <v>40.0</v>
      </c>
      <c r="I21" s="16"/>
    </row>
    <row r="22" ht="15.75" customHeight="1">
      <c r="G22" s="84" t="s">
        <v>200</v>
      </c>
    </row>
    <row r="23" ht="15.75" customHeight="1">
      <c r="A23" s="57" t="s">
        <v>201</v>
      </c>
      <c r="B23" s="60" t="s">
        <v>253</v>
      </c>
      <c r="C23" s="27"/>
      <c r="D23" s="27"/>
      <c r="E23" s="27"/>
      <c r="F23" s="27"/>
      <c r="G23" s="27"/>
      <c r="H23" s="29"/>
    </row>
    <row r="24" ht="15.75" customHeight="1">
      <c r="A24" s="57" t="s">
        <v>201</v>
      </c>
      <c r="B24" s="60" t="s">
        <v>48</v>
      </c>
      <c r="C24" s="27"/>
      <c r="D24" s="27"/>
      <c r="E24" s="27"/>
      <c r="F24" s="27"/>
      <c r="G24" s="27"/>
      <c r="H24" s="29"/>
    </row>
    <row r="25" ht="15.75" customHeight="1"/>
    <row r="26" ht="15.75" customHeight="1">
      <c r="A26" s="116" t="s">
        <v>205</v>
      </c>
      <c r="B26" s="16"/>
      <c r="C26" s="16"/>
      <c r="D26" s="16"/>
    </row>
    <row r="27" ht="15.75" customHeight="1">
      <c r="A27" s="97" t="s">
        <v>16</v>
      </c>
      <c r="B27" s="98" t="s">
        <v>164</v>
      </c>
      <c r="C27" s="29"/>
      <c r="D27" s="98" t="s">
        <v>168</v>
      </c>
      <c r="E27" s="29"/>
      <c r="F27" s="98" t="s">
        <v>169</v>
      </c>
      <c r="G27" s="27"/>
      <c r="H27" s="29"/>
    </row>
    <row r="28" ht="15.75" customHeight="1">
      <c r="A28" s="32">
        <v>1.0</v>
      </c>
      <c r="B28" s="25">
        <f>IFERROR(__xludf.DUMMYFUNCTION("FILTER('Diseño'!D:D,'Diseño'!H:H=$C$5)"),2.0)</f>
        <v>2</v>
      </c>
      <c r="C28" s="29"/>
      <c r="D28" s="25" t="str">
        <f>IFERROR(__xludf.DUMMYFUNCTION("FILTER('Diseño'!E:E,'Diseño'!H:H=$C$5)"),"Programación Orientada a Objetos")</f>
        <v>Programación Orientada a Objetos</v>
      </c>
      <c r="E28" s="29"/>
      <c r="F28" s="25" t="str">
        <f>IFERROR(__xludf.DUMMYFUNCTION("FILTER('Diseño'!F:F,'Diseño'!H:H=$C$5)"),"Clases y Objetos")</f>
        <v>Clases y Objetos</v>
      </c>
      <c r="G28" s="27"/>
      <c r="H28" s="29"/>
    </row>
    <row r="29" ht="15.75" customHeight="1">
      <c r="A29" s="32">
        <v>2.0</v>
      </c>
      <c r="B29" s="25">
        <f>IFERROR(__xludf.DUMMYFUNCTION("""COMPUTED_VALUE"""),2.0)</f>
        <v>2</v>
      </c>
      <c r="C29" s="29"/>
      <c r="D29" s="25" t="str">
        <f>IFERROR(__xludf.DUMMYFUNCTION("""COMPUTED_VALUE"""),"Programación Orientada a Objetos")</f>
        <v>Programación Orientada a Objetos</v>
      </c>
      <c r="E29" s="29"/>
      <c r="F29" s="25" t="str">
        <f>IFERROR(__xludf.DUMMYFUNCTION("""COMPUTED_VALUE"""),"Prototipos")</f>
        <v>Prototipos</v>
      </c>
      <c r="G29" s="27"/>
      <c r="H29" s="29"/>
    </row>
    <row r="30" ht="15.75" customHeight="1">
      <c r="A30" s="32">
        <v>3.0</v>
      </c>
      <c r="B30" s="25">
        <f>IFERROR(__xludf.DUMMYFUNCTION("""COMPUTED_VALUE"""),2.0)</f>
        <v>2</v>
      </c>
      <c r="C30" s="29"/>
      <c r="D30" s="25" t="str">
        <f>IFERROR(__xludf.DUMMYFUNCTION("""COMPUTED_VALUE"""),"Programación Orientada a Objetos")</f>
        <v>Programación Orientada a Objetos</v>
      </c>
      <c r="E30" s="29"/>
      <c r="F30" s="25" t="str">
        <f>IFERROR(__xludf.DUMMYFUNCTION("""COMPUTED_VALUE"""),"Constructores")</f>
        <v>Constructores</v>
      </c>
      <c r="G30" s="27"/>
      <c r="H30" s="29"/>
    </row>
    <row r="31" ht="15.75" customHeight="1">
      <c r="A31" s="32">
        <v>4.0</v>
      </c>
      <c r="B31" s="25">
        <f>IFERROR(__xludf.DUMMYFUNCTION("""COMPUTED_VALUE"""),2.0)</f>
        <v>2</v>
      </c>
      <c r="C31" s="29"/>
      <c r="D31" s="25" t="str">
        <f>IFERROR(__xludf.DUMMYFUNCTION("""COMPUTED_VALUE"""),"Programación Orientada a Objetos")</f>
        <v>Programación Orientada a Objetos</v>
      </c>
      <c r="E31" s="29"/>
      <c r="F31" s="25" t="str">
        <f>IFERROR(__xludf.DUMMYFUNCTION("""COMPUTED_VALUE"""),"Sobrecarga de Métodos")</f>
        <v>Sobrecarga de Métodos</v>
      </c>
      <c r="G31" s="27"/>
      <c r="H31" s="29"/>
    </row>
    <row r="32" ht="15.75" customHeight="1">
      <c r="A32" s="32">
        <v>5.0</v>
      </c>
      <c r="B32" s="25">
        <f>IFERROR(__xludf.DUMMYFUNCTION("""COMPUTED_VALUE"""),2.0)</f>
        <v>2</v>
      </c>
      <c r="C32" s="29"/>
      <c r="D32" s="25" t="str">
        <f>IFERROR(__xludf.DUMMYFUNCTION("""COMPUTED_VALUE"""),"Programación Orientada a Objetos")</f>
        <v>Programación Orientada a Objetos</v>
      </c>
      <c r="E32" s="29"/>
      <c r="F32" s="25" t="str">
        <f>IFERROR(__xludf.DUMMYFUNCTION("""COMPUTED_VALUE"""),"Estructura en Memoria")</f>
        <v>Estructura en Memoria</v>
      </c>
      <c r="G32" s="27"/>
      <c r="H32" s="29"/>
    </row>
    <row r="33" ht="15.75" customHeight="1">
      <c r="A33" s="32">
        <v>6.0</v>
      </c>
      <c r="B33" s="25"/>
      <c r="C33" s="29"/>
      <c r="D33" s="25"/>
      <c r="E33" s="29"/>
      <c r="F33" s="25"/>
      <c r="G33" s="27"/>
      <c r="H33" s="29"/>
    </row>
    <row r="34" ht="15.75" customHeight="1">
      <c r="A34" s="32">
        <v>7.0</v>
      </c>
      <c r="B34" s="25"/>
      <c r="C34" s="29"/>
      <c r="D34" s="25"/>
      <c r="E34" s="29"/>
      <c r="F34" s="25"/>
      <c r="G34" s="27"/>
      <c r="H34" s="29"/>
    </row>
    <row r="35" ht="15.75" customHeight="1"/>
    <row r="36" ht="15.75" customHeight="1">
      <c r="A36" s="116" t="s">
        <v>207</v>
      </c>
    </row>
    <row r="37" ht="15.75" customHeight="1">
      <c r="A37" s="16"/>
      <c r="B37" s="16"/>
      <c r="C37" s="16"/>
      <c r="D37" s="16"/>
      <c r="E37" s="16"/>
      <c r="F37" s="16"/>
      <c r="G37" s="16"/>
      <c r="H37" s="16"/>
    </row>
    <row r="38">
      <c r="A38" s="97" t="s">
        <v>208</v>
      </c>
      <c r="B38" s="97" t="s">
        <v>70</v>
      </c>
      <c r="C38" s="117" t="s">
        <v>209</v>
      </c>
      <c r="D38" s="118" t="s">
        <v>210</v>
      </c>
      <c r="E38" s="27"/>
      <c r="F38" s="27"/>
      <c r="G38" s="27"/>
      <c r="H38" s="29"/>
      <c r="I38" s="119" t="s">
        <v>129</v>
      </c>
    </row>
    <row r="39" ht="15.75" customHeight="1">
      <c r="A39" s="32" t="s">
        <v>211</v>
      </c>
      <c r="B39" s="32" t="s">
        <v>212</v>
      </c>
      <c r="C39" s="32">
        <v>30.0</v>
      </c>
      <c r="D39" s="60">
        <v>25.0</v>
      </c>
      <c r="E39" s="27"/>
      <c r="F39" s="27"/>
      <c r="G39" s="27"/>
      <c r="H39" s="29"/>
      <c r="I39" s="32" t="str">
        <f t="shared" ref="I39:I42" si="1">IF(D39&lt;=C39,"Correcto", "Corregir")</f>
        <v>Correcto</v>
      </c>
    </row>
    <row r="40" ht="15.75" customHeight="1">
      <c r="A40" s="32" t="s">
        <v>213</v>
      </c>
      <c r="B40" s="32" t="s">
        <v>212</v>
      </c>
      <c r="C40" s="32">
        <v>6.0</v>
      </c>
      <c r="D40" s="25"/>
      <c r="E40" s="27"/>
      <c r="F40" s="27"/>
      <c r="G40" s="27"/>
      <c r="H40" s="29"/>
      <c r="I40" s="32" t="str">
        <f t="shared" si="1"/>
        <v>Correcto</v>
      </c>
    </row>
    <row r="41" ht="15.75" customHeight="1">
      <c r="A41" s="32" t="s">
        <v>214</v>
      </c>
      <c r="B41" s="32" t="s">
        <v>215</v>
      </c>
      <c r="C41" s="32">
        <v>10.0</v>
      </c>
      <c r="D41" s="25"/>
      <c r="E41" s="27"/>
      <c r="F41" s="27"/>
      <c r="G41" s="27"/>
      <c r="H41" s="29"/>
      <c r="I41" s="32" t="str">
        <f t="shared" si="1"/>
        <v>Correcto</v>
      </c>
    </row>
    <row r="42" ht="15.75" customHeight="1">
      <c r="A42" s="32" t="s">
        <v>216</v>
      </c>
      <c r="B42" s="32" t="s">
        <v>212</v>
      </c>
      <c r="C42" s="32">
        <v>30.0</v>
      </c>
      <c r="D42" s="60">
        <v>15.0</v>
      </c>
      <c r="E42" s="27"/>
      <c r="F42" s="27"/>
      <c r="G42" s="27"/>
      <c r="H42" s="29"/>
      <c r="I42" s="32" t="str">
        <f t="shared" si="1"/>
        <v>Correcto</v>
      </c>
    </row>
    <row r="43" ht="15.75" customHeight="1"/>
    <row r="44" ht="15.75" customHeight="1">
      <c r="A44" s="111" t="s">
        <v>217</v>
      </c>
      <c r="G44" s="79" t="s">
        <v>39</v>
      </c>
      <c r="H44" s="112">
        <v>45.0</v>
      </c>
    </row>
    <row r="45" ht="15.75" customHeight="1">
      <c r="G45" s="84" t="s">
        <v>218</v>
      </c>
    </row>
    <row r="46" ht="15.75" customHeight="1">
      <c r="A46" s="84" t="s">
        <v>219</v>
      </c>
    </row>
    <row r="47">
      <c r="A47" s="57" t="s">
        <v>220</v>
      </c>
      <c r="B47" s="60" t="s">
        <v>67</v>
      </c>
      <c r="C47" s="27"/>
      <c r="D47" s="27"/>
      <c r="E47" s="27"/>
      <c r="F47" s="27"/>
      <c r="G47" s="27"/>
      <c r="H47" s="29"/>
    </row>
    <row r="48" ht="15.75" customHeight="1">
      <c r="A48" s="57" t="s">
        <v>11</v>
      </c>
      <c r="B48" s="60" t="s">
        <v>254</v>
      </c>
      <c r="C48" s="27"/>
      <c r="D48" s="27"/>
      <c r="E48" s="27"/>
      <c r="F48" s="27"/>
      <c r="G48" s="27"/>
      <c r="H48" s="29"/>
    </row>
    <row r="49" ht="15.75" customHeight="1">
      <c r="A49" s="57" t="s">
        <v>189</v>
      </c>
      <c r="B49" s="128">
        <v>0.0</v>
      </c>
      <c r="C49" s="27"/>
      <c r="D49" s="27"/>
      <c r="E49" s="27"/>
      <c r="F49" s="27"/>
      <c r="G49" s="27"/>
      <c r="H49" s="29"/>
    </row>
    <row r="50" ht="15.75" customHeight="1">
      <c r="A50" s="57" t="s">
        <v>39</v>
      </c>
      <c r="B50" s="25"/>
      <c r="C50" s="27"/>
      <c r="D50" s="27"/>
      <c r="E50" s="27"/>
      <c r="F50" s="27"/>
      <c r="G50" s="27"/>
      <c r="H50" s="29"/>
    </row>
    <row r="51" ht="15.75" customHeight="1">
      <c r="A51" s="121" t="s">
        <v>222</v>
      </c>
      <c r="B51" s="16"/>
      <c r="C51" s="16"/>
      <c r="D51" s="16"/>
      <c r="E51" s="16"/>
      <c r="F51" s="16"/>
      <c r="G51" s="16"/>
      <c r="H51" s="16"/>
    </row>
    <row r="52" ht="15.75" customHeight="1">
      <c r="A52" s="113" t="s">
        <v>223</v>
      </c>
      <c r="B52" s="27"/>
      <c r="C52" s="27"/>
      <c r="D52" s="27"/>
      <c r="E52" s="27"/>
      <c r="F52" s="27"/>
      <c r="G52" s="27"/>
      <c r="H52" s="29"/>
    </row>
    <row r="53" ht="15.75" customHeight="1">
      <c r="A53" s="134" t="s">
        <v>255</v>
      </c>
      <c r="B53" s="102"/>
      <c r="C53" s="102"/>
      <c r="D53" s="102"/>
      <c r="E53" s="102"/>
      <c r="F53" s="102"/>
      <c r="G53" s="102"/>
      <c r="H53" s="103"/>
    </row>
    <row r="54" ht="15.75" customHeight="1">
      <c r="A54" s="122"/>
      <c r="H54" s="123"/>
    </row>
    <row r="55" ht="15.75" customHeight="1">
      <c r="A55" s="104"/>
      <c r="B55" s="105"/>
      <c r="C55" s="105"/>
      <c r="D55" s="105"/>
      <c r="E55" s="105"/>
      <c r="F55" s="105"/>
      <c r="G55" s="105"/>
      <c r="H55" s="106"/>
    </row>
    <row r="56" ht="15.75" customHeight="1"/>
    <row r="57" ht="15.75" customHeight="1">
      <c r="A57" s="84" t="s">
        <v>228</v>
      </c>
    </row>
    <row r="58">
      <c r="A58" s="57" t="s">
        <v>220</v>
      </c>
      <c r="B58" s="25"/>
      <c r="C58" s="27"/>
      <c r="D58" s="27"/>
      <c r="E58" s="27"/>
      <c r="F58" s="27"/>
      <c r="G58" s="27"/>
      <c r="H58" s="29"/>
    </row>
    <row r="59" ht="15.75" customHeight="1">
      <c r="A59" s="57" t="s">
        <v>11</v>
      </c>
      <c r="B59" s="25"/>
      <c r="C59" s="27"/>
      <c r="D59" s="27"/>
      <c r="E59" s="27"/>
      <c r="F59" s="27"/>
      <c r="G59" s="27"/>
      <c r="H59" s="29"/>
    </row>
    <row r="60" ht="15.75" customHeight="1">
      <c r="A60" s="57" t="s">
        <v>189</v>
      </c>
      <c r="B60" s="128"/>
      <c r="C60" s="27"/>
      <c r="D60" s="27"/>
      <c r="E60" s="27"/>
      <c r="F60" s="27"/>
      <c r="G60" s="27"/>
      <c r="H60" s="29"/>
    </row>
    <row r="61" ht="15.75" customHeight="1">
      <c r="A61" s="57" t="s">
        <v>39</v>
      </c>
      <c r="B61" s="128"/>
      <c r="C61" s="27"/>
      <c r="D61" s="27"/>
      <c r="E61" s="27"/>
      <c r="F61" s="27"/>
      <c r="G61" s="27"/>
      <c r="H61" s="29"/>
    </row>
    <row r="62" ht="15.75" customHeight="1">
      <c r="A62" s="129" t="s">
        <v>232</v>
      </c>
      <c r="B62" s="16"/>
      <c r="C62" s="16"/>
      <c r="D62" s="16"/>
      <c r="E62" s="16"/>
      <c r="F62" s="16"/>
      <c r="G62" s="16"/>
      <c r="H62" s="16"/>
    </row>
    <row r="63" ht="15.75" customHeight="1">
      <c r="A63" s="113" t="s">
        <v>223</v>
      </c>
      <c r="B63" s="27"/>
      <c r="C63" s="27"/>
      <c r="D63" s="27"/>
      <c r="E63" s="27"/>
      <c r="F63" s="27"/>
      <c r="G63" s="27"/>
      <c r="H63" s="29"/>
    </row>
    <row r="64" ht="15.75" customHeight="1">
      <c r="A64" s="130"/>
      <c r="B64" s="102"/>
      <c r="C64" s="102"/>
      <c r="D64" s="102"/>
      <c r="E64" s="102"/>
      <c r="F64" s="102"/>
      <c r="G64" s="102"/>
      <c r="H64" s="103"/>
    </row>
    <row r="65" ht="15.75" customHeight="1">
      <c r="A65" s="122"/>
      <c r="H65" s="123"/>
    </row>
    <row r="66" ht="15.75" customHeight="1">
      <c r="A66" s="104"/>
      <c r="B66" s="105"/>
      <c r="C66" s="105"/>
      <c r="D66" s="105"/>
      <c r="E66" s="105"/>
      <c r="F66" s="105"/>
      <c r="G66" s="105"/>
      <c r="H66" s="106"/>
    </row>
    <row r="67" ht="15.75" customHeight="1"/>
    <row r="68" ht="15.75" customHeight="1">
      <c r="A68" s="111" t="s">
        <v>234</v>
      </c>
      <c r="G68" s="79" t="s">
        <v>39</v>
      </c>
      <c r="H68" s="112">
        <v>10.0</v>
      </c>
    </row>
    <row r="69" ht="15.75" customHeight="1">
      <c r="G69" s="84" t="s">
        <v>235</v>
      </c>
    </row>
    <row r="70" ht="15.75" customHeight="1">
      <c r="A70" s="57" t="s">
        <v>39</v>
      </c>
      <c r="B70" s="128"/>
      <c r="C70" s="27"/>
      <c r="D70" s="27"/>
      <c r="E70" s="27"/>
      <c r="F70" s="27"/>
      <c r="G70" s="27"/>
      <c r="H70" s="29"/>
    </row>
    <row r="71" ht="15.75" customHeight="1">
      <c r="A71" s="118" t="s">
        <v>236</v>
      </c>
      <c r="B71" s="27"/>
      <c r="C71" s="27"/>
      <c r="D71" s="27"/>
      <c r="E71" s="27"/>
      <c r="F71" s="27"/>
      <c r="G71" s="27"/>
      <c r="H71" s="29"/>
    </row>
    <row r="72" ht="15.75" customHeight="1">
      <c r="A72" s="134" t="s">
        <v>246</v>
      </c>
      <c r="B72" s="102"/>
      <c r="C72" s="102"/>
      <c r="D72" s="102"/>
      <c r="E72" s="102"/>
      <c r="F72" s="102"/>
      <c r="G72" s="102"/>
      <c r="H72" s="103"/>
    </row>
    <row r="73" ht="15.75" customHeight="1">
      <c r="A73" s="104"/>
      <c r="B73" s="105"/>
      <c r="C73" s="105"/>
      <c r="D73" s="105"/>
      <c r="E73" s="105"/>
      <c r="F73" s="105"/>
      <c r="G73" s="105"/>
      <c r="H73" s="106"/>
    </row>
    <row r="74" ht="15.75" customHeight="1">
      <c r="A74" s="84" t="s">
        <v>237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7" t="s">
        <v>188</v>
      </c>
    </row>
    <row r="3" ht="15.75" customHeight="1"/>
    <row r="4" ht="15.75" customHeight="1">
      <c r="B4" s="12" t="s">
        <v>1</v>
      </c>
      <c r="C4" s="107" t="str">
        <f>'Diseño'!C4</f>
        <v>781 - Organización de Lenguajes y Compiladores 2</v>
      </c>
      <c r="D4" s="27"/>
      <c r="E4" s="27"/>
      <c r="F4" s="27"/>
      <c r="G4" s="29"/>
    </row>
    <row r="5" ht="15.75" customHeight="1">
      <c r="B5" s="32" t="s">
        <v>22</v>
      </c>
      <c r="C5" s="25">
        <v>7.0</v>
      </c>
      <c r="D5" s="27"/>
      <c r="E5" s="27"/>
      <c r="F5" s="27"/>
      <c r="G5" s="29"/>
    </row>
    <row r="6" ht="15.75" customHeight="1">
      <c r="B6" s="108" t="s">
        <v>28</v>
      </c>
      <c r="C6" s="25">
        <f>H10+H21+H44+H68</f>
        <v>100</v>
      </c>
      <c r="D6" s="27"/>
      <c r="E6" s="27"/>
      <c r="F6" s="27"/>
      <c r="G6" s="29"/>
      <c r="I6" s="16"/>
    </row>
    <row r="7" ht="15.75" customHeight="1">
      <c r="B7" s="108" t="s">
        <v>189</v>
      </c>
      <c r="C7" s="25">
        <f>B49+B60</f>
        <v>0</v>
      </c>
      <c r="D7" s="27"/>
      <c r="E7" s="27"/>
      <c r="F7" s="27"/>
      <c r="G7" s="29"/>
    </row>
    <row r="8" ht="15.75" customHeight="1">
      <c r="B8" s="108" t="s">
        <v>190</v>
      </c>
      <c r="C8" s="110" t="str">
        <f>IF(H44&lt;=0, "❌ ERROR: La Actividad 1 debe tener un tiempo mayor a 0.", IF(H21&gt;60, "❌ ERROR: El 'Área de Conocimiento' no puede exceder los 60 min.", IF(C6&lt;100, "❌ ERROR: El tiempo total debe ser de al menos 100 min.", "✅ VALIDACIÓN CORRECTA")))</f>
        <v>✅ VALIDACIÓN CORRECTA</v>
      </c>
      <c r="D8" s="27"/>
      <c r="E8" s="27"/>
      <c r="F8" s="27"/>
      <c r="G8" s="29"/>
      <c r="I8" s="16"/>
      <c r="J8" s="16"/>
      <c r="K8" s="16"/>
    </row>
    <row r="9" ht="15.75" customHeight="1"/>
    <row r="10" ht="15.75" customHeight="1">
      <c r="A10" s="111" t="s">
        <v>191</v>
      </c>
      <c r="G10" s="79" t="s">
        <v>39</v>
      </c>
      <c r="H10" s="112">
        <v>5.0</v>
      </c>
    </row>
    <row r="11" ht="15.75" customHeight="1">
      <c r="G11" s="84" t="s">
        <v>202</v>
      </c>
    </row>
    <row r="12" ht="15.75" customHeight="1">
      <c r="A12" s="57" t="s">
        <v>193</v>
      </c>
      <c r="B12" s="53" t="s">
        <v>248</v>
      </c>
      <c r="C12" s="27"/>
      <c r="D12" s="27"/>
      <c r="E12" s="27"/>
      <c r="F12" s="27"/>
      <c r="G12" s="27"/>
      <c r="H12" s="29"/>
    </row>
    <row r="13" ht="15.75" customHeight="1">
      <c r="A13" s="65" t="s">
        <v>39</v>
      </c>
      <c r="B13" s="25"/>
      <c r="C13" s="27"/>
      <c r="D13" s="27"/>
      <c r="E13" s="27"/>
      <c r="F13" s="27"/>
      <c r="G13" s="27"/>
      <c r="H13" s="29"/>
    </row>
    <row r="14" ht="15.75" customHeight="1">
      <c r="A14" s="113" t="s">
        <v>195</v>
      </c>
      <c r="B14" s="27"/>
      <c r="C14" s="27"/>
      <c r="D14" s="27"/>
      <c r="E14" s="27"/>
      <c r="F14" s="27"/>
      <c r="G14" s="27"/>
      <c r="H14" s="29"/>
    </row>
    <row r="15" ht="15.75" customHeight="1">
      <c r="A15" s="135" t="s">
        <v>250</v>
      </c>
      <c r="B15" s="102"/>
      <c r="C15" s="102"/>
      <c r="D15" s="102"/>
      <c r="E15" s="102"/>
      <c r="F15" s="102"/>
      <c r="G15" s="102"/>
      <c r="H15" s="103"/>
    </row>
    <row r="16" ht="15.75" customHeight="1">
      <c r="A16" s="104"/>
      <c r="B16" s="105"/>
      <c r="C16" s="105"/>
      <c r="D16" s="105"/>
      <c r="E16" s="105"/>
      <c r="F16" s="105"/>
      <c r="G16" s="105"/>
      <c r="H16" s="106"/>
    </row>
    <row r="17" ht="15.75" customHeight="1">
      <c r="A17" s="113" t="s">
        <v>197</v>
      </c>
      <c r="B17" s="27"/>
      <c r="C17" s="27"/>
      <c r="D17" s="27"/>
      <c r="E17" s="27"/>
      <c r="F17" s="27"/>
      <c r="G17" s="27"/>
      <c r="H17" s="29"/>
    </row>
    <row r="18" ht="15.75" customHeight="1">
      <c r="A18" s="131" t="s">
        <v>252</v>
      </c>
      <c r="B18" s="102"/>
      <c r="C18" s="102"/>
      <c r="D18" s="102"/>
      <c r="E18" s="102"/>
      <c r="F18" s="102"/>
      <c r="G18" s="102"/>
      <c r="H18" s="103"/>
    </row>
    <row r="19" ht="15.75" customHeight="1">
      <c r="A19" s="104"/>
      <c r="B19" s="105"/>
      <c r="C19" s="105"/>
      <c r="D19" s="105"/>
      <c r="E19" s="105"/>
      <c r="F19" s="105"/>
      <c r="G19" s="105"/>
      <c r="H19" s="106"/>
    </row>
    <row r="20" ht="15.75" customHeight="1"/>
    <row r="21" ht="15.75" customHeight="1">
      <c r="A21" s="111" t="s">
        <v>199</v>
      </c>
      <c r="G21" s="79" t="s">
        <v>39</v>
      </c>
      <c r="H21" s="112">
        <v>40.0</v>
      </c>
      <c r="I21" s="16"/>
    </row>
    <row r="22" ht="15.75" customHeight="1">
      <c r="G22" s="84" t="s">
        <v>200</v>
      </c>
    </row>
    <row r="23" ht="15.75" customHeight="1">
      <c r="A23" s="57" t="s">
        <v>201</v>
      </c>
      <c r="B23" s="60" t="s">
        <v>93</v>
      </c>
      <c r="C23" s="27"/>
      <c r="D23" s="27"/>
      <c r="E23" s="27"/>
      <c r="F23" s="27"/>
      <c r="G23" s="27"/>
      <c r="H23" s="29"/>
    </row>
    <row r="24" ht="15.75" customHeight="1">
      <c r="A24" s="57" t="s">
        <v>201</v>
      </c>
      <c r="B24" s="25"/>
      <c r="C24" s="27"/>
      <c r="D24" s="27"/>
      <c r="E24" s="27"/>
      <c r="F24" s="27"/>
      <c r="G24" s="27"/>
      <c r="H24" s="29"/>
    </row>
    <row r="25" ht="15.75" customHeight="1"/>
    <row r="26" ht="15.75" customHeight="1">
      <c r="A26" s="116" t="s">
        <v>205</v>
      </c>
      <c r="B26" s="16"/>
      <c r="C26" s="16"/>
      <c r="D26" s="16"/>
    </row>
    <row r="27" ht="15.75" customHeight="1">
      <c r="A27" s="97" t="s">
        <v>16</v>
      </c>
      <c r="B27" s="98" t="s">
        <v>164</v>
      </c>
      <c r="C27" s="29"/>
      <c r="D27" s="98" t="s">
        <v>168</v>
      </c>
      <c r="E27" s="29"/>
      <c r="F27" s="98" t="s">
        <v>169</v>
      </c>
      <c r="G27" s="27"/>
      <c r="H27" s="29"/>
    </row>
    <row r="28" ht="15.75" customHeight="1">
      <c r="A28" s="32">
        <v>1.0</v>
      </c>
      <c r="B28" s="25">
        <f>IFERROR(__xludf.DUMMYFUNCTION("FILTER('Diseño'!D:D,'Diseño'!H:H=$C$5)"),3.0)</f>
        <v>3</v>
      </c>
      <c r="C28" s="29"/>
      <c r="D28" s="25" t="str">
        <f>IFERROR(__xludf.DUMMYFUNCTION("FILTER('Diseño'!E:E,'Diseño'!H:H=$C$5)"),"Representaciones intermedias y generación de código")</f>
        <v>Representaciones intermedias y generación de código</v>
      </c>
      <c r="E28" s="29"/>
      <c r="F28" s="25" t="str">
        <f>IFERROR(__xludf.DUMMYFUNCTION("FILTER('Diseño'!F:F,'Diseño'!H:H=$C$5)"),"Codigo de 3 direcciones")</f>
        <v>Codigo de 3 direcciones</v>
      </c>
      <c r="G28" s="27"/>
      <c r="H28" s="29"/>
    </row>
    <row r="29" ht="15.75" customHeight="1">
      <c r="A29" s="32">
        <v>2.0</v>
      </c>
      <c r="B29" s="25">
        <f>IFERROR(__xludf.DUMMYFUNCTION("""COMPUTED_VALUE"""),3.0)</f>
        <v>3</v>
      </c>
      <c r="C29" s="29"/>
      <c r="D29" s="25" t="str">
        <f>IFERROR(__xludf.DUMMYFUNCTION("""COMPUTED_VALUE"""),"Representaciones intermedias y generación de código")</f>
        <v>Representaciones intermedias y generación de código</v>
      </c>
      <c r="E29" s="29"/>
      <c r="F29" s="25" t="str">
        <f>IFERROR(__xludf.DUMMYFUNCTION("""COMPUTED_VALUE"""),"Bytecode")</f>
        <v>Bytecode</v>
      </c>
      <c r="G29" s="27"/>
      <c r="H29" s="29"/>
    </row>
    <row r="30" ht="15.75" customHeight="1">
      <c r="A30" s="32">
        <v>3.0</v>
      </c>
      <c r="B30" s="25">
        <f>IFERROR(__xludf.DUMMYFUNCTION("""COMPUTED_VALUE"""),3.0)</f>
        <v>3</v>
      </c>
      <c r="C30" s="29"/>
      <c r="D30" s="25" t="str">
        <f>IFERROR(__xludf.DUMMYFUNCTION("""COMPUTED_VALUE"""),"Representaciones intermedias y generación de código")</f>
        <v>Representaciones intermedias y generación de código</v>
      </c>
      <c r="E30" s="29"/>
      <c r="F30" s="25" t="str">
        <f>IFERROR(__xludf.DUMMYFUNCTION("""COMPUTED_VALUE"""),"Assembly: Risc-V y ARM64")</f>
        <v>Assembly: Risc-V y ARM64</v>
      </c>
      <c r="G30" s="27"/>
      <c r="H30" s="29"/>
    </row>
    <row r="31" ht="15.75" customHeight="1">
      <c r="A31" s="32">
        <v>4.0</v>
      </c>
      <c r="B31" s="25">
        <f>IFERROR(__xludf.DUMMYFUNCTION("""COMPUTED_VALUE"""),3.0)</f>
        <v>3</v>
      </c>
      <c r="C31" s="29"/>
      <c r="D31" s="25" t="str">
        <f>IFERROR(__xludf.DUMMYFUNCTION("""COMPUTED_VALUE"""),"Representaciones intermedias y generación de código")</f>
        <v>Representaciones intermedias y generación de código</v>
      </c>
      <c r="E31" s="29"/>
      <c r="F31" s="25" t="str">
        <f>IFERROR(__xludf.DUMMYFUNCTION("""COMPUTED_VALUE"""),"Enteros")</f>
        <v>Enteros</v>
      </c>
      <c r="G31" s="27"/>
      <c r="H31" s="29"/>
    </row>
    <row r="32" ht="15.75" customHeight="1">
      <c r="A32" s="32">
        <v>5.0</v>
      </c>
      <c r="B32" s="25">
        <f>IFERROR(__xludf.DUMMYFUNCTION("""COMPUTED_VALUE"""),3.0)</f>
        <v>3</v>
      </c>
      <c r="C32" s="29"/>
      <c r="D32" s="25" t="str">
        <f>IFERROR(__xludf.DUMMYFUNCTION("""COMPUTED_VALUE"""),"Representaciones intermedias y generación de código")</f>
        <v>Representaciones intermedias y generación de código</v>
      </c>
      <c r="E32" s="29"/>
      <c r="F32" s="25" t="str">
        <f>IFERROR(__xludf.DUMMYFUNCTION("""COMPUTED_VALUE"""),"Punto Flotante")</f>
        <v>Punto Flotante</v>
      </c>
      <c r="G32" s="27"/>
      <c r="H32" s="29"/>
    </row>
    <row r="33" ht="15.75" customHeight="1">
      <c r="A33" s="32">
        <v>6.0</v>
      </c>
      <c r="B33" s="25">
        <f>IFERROR(__xludf.DUMMYFUNCTION("""COMPUTED_VALUE"""),3.0)</f>
        <v>3</v>
      </c>
      <c r="C33" s="29"/>
      <c r="D33" s="25" t="str">
        <f>IFERROR(__xludf.DUMMYFUNCTION("""COMPUTED_VALUE"""),"Representaciones intermedias y generación de código")</f>
        <v>Representaciones intermedias y generación de código</v>
      </c>
      <c r="E33" s="29"/>
      <c r="F33" s="25" t="str">
        <f>IFERROR(__xludf.DUMMYFUNCTION("""COMPUTED_VALUE"""),"Char y Strings")</f>
        <v>Char y Strings</v>
      </c>
      <c r="G33" s="27"/>
      <c r="H33" s="29"/>
    </row>
    <row r="34" ht="15.75" customHeight="1">
      <c r="A34" s="32">
        <v>7.0</v>
      </c>
      <c r="B34" s="25"/>
      <c r="C34" s="29"/>
      <c r="D34" s="25"/>
      <c r="E34" s="29"/>
      <c r="F34" s="25"/>
      <c r="G34" s="27"/>
      <c r="H34" s="29"/>
    </row>
    <row r="35" ht="15.75" customHeight="1"/>
    <row r="36" ht="15.75" customHeight="1">
      <c r="A36" s="116" t="s">
        <v>207</v>
      </c>
    </row>
    <row r="37" ht="15.75" customHeight="1">
      <c r="A37" s="16"/>
      <c r="B37" s="16"/>
      <c r="C37" s="16"/>
      <c r="D37" s="16"/>
      <c r="E37" s="16"/>
      <c r="F37" s="16"/>
      <c r="G37" s="16"/>
      <c r="H37" s="16"/>
    </row>
    <row r="38">
      <c r="A38" s="97" t="s">
        <v>208</v>
      </c>
      <c r="B38" s="97" t="s">
        <v>70</v>
      </c>
      <c r="C38" s="117" t="s">
        <v>209</v>
      </c>
      <c r="D38" s="118" t="s">
        <v>210</v>
      </c>
      <c r="E38" s="27"/>
      <c r="F38" s="27"/>
      <c r="G38" s="27"/>
      <c r="H38" s="29"/>
      <c r="I38" s="119" t="s">
        <v>129</v>
      </c>
    </row>
    <row r="39" ht="15.75" customHeight="1">
      <c r="A39" s="32" t="s">
        <v>211</v>
      </c>
      <c r="B39" s="32" t="s">
        <v>212</v>
      </c>
      <c r="C39" s="32">
        <v>30.0</v>
      </c>
      <c r="D39" s="60">
        <v>30.0</v>
      </c>
      <c r="E39" s="27"/>
      <c r="F39" s="27"/>
      <c r="G39" s="27"/>
      <c r="H39" s="29"/>
      <c r="I39" s="32" t="str">
        <f t="shared" ref="I39:I42" si="1">IF(D39&lt;=C39,"Correcto", "Corregir")</f>
        <v>Correcto</v>
      </c>
    </row>
    <row r="40" ht="15.75" customHeight="1">
      <c r="A40" s="32" t="s">
        <v>213</v>
      </c>
      <c r="B40" s="32" t="s">
        <v>212</v>
      </c>
      <c r="C40" s="32">
        <v>6.0</v>
      </c>
      <c r="D40" s="25"/>
      <c r="E40" s="27"/>
      <c r="F40" s="27"/>
      <c r="G40" s="27"/>
      <c r="H40" s="29"/>
      <c r="I40" s="32" t="str">
        <f t="shared" si="1"/>
        <v>Correcto</v>
      </c>
    </row>
    <row r="41" ht="15.75" customHeight="1">
      <c r="A41" s="32" t="s">
        <v>214</v>
      </c>
      <c r="B41" s="32" t="s">
        <v>215</v>
      </c>
      <c r="C41" s="32">
        <v>10.0</v>
      </c>
      <c r="D41" s="25"/>
      <c r="E41" s="27"/>
      <c r="F41" s="27"/>
      <c r="G41" s="27"/>
      <c r="H41" s="29"/>
      <c r="I41" s="32" t="str">
        <f t="shared" si="1"/>
        <v>Correcto</v>
      </c>
    </row>
    <row r="42" ht="15.75" customHeight="1">
      <c r="A42" s="32" t="s">
        <v>216</v>
      </c>
      <c r="B42" s="32" t="s">
        <v>212</v>
      </c>
      <c r="C42" s="32">
        <v>30.0</v>
      </c>
      <c r="D42" s="60">
        <v>10.0</v>
      </c>
      <c r="E42" s="27"/>
      <c r="F42" s="27"/>
      <c r="G42" s="27"/>
      <c r="H42" s="29"/>
      <c r="I42" s="32" t="str">
        <f t="shared" si="1"/>
        <v>Correcto</v>
      </c>
    </row>
    <row r="43" ht="15.75" customHeight="1"/>
    <row r="44" ht="15.75" customHeight="1">
      <c r="A44" s="111" t="s">
        <v>217</v>
      </c>
      <c r="G44" s="79" t="s">
        <v>39</v>
      </c>
      <c r="H44" s="112">
        <v>45.0</v>
      </c>
    </row>
    <row r="45" ht="15.75" customHeight="1">
      <c r="G45" s="84" t="s">
        <v>218</v>
      </c>
    </row>
    <row r="46" ht="15.75" customHeight="1">
      <c r="A46" s="84" t="s">
        <v>219</v>
      </c>
    </row>
    <row r="47">
      <c r="A47" s="57" t="s">
        <v>220</v>
      </c>
      <c r="B47" s="60" t="s">
        <v>93</v>
      </c>
      <c r="C47" s="27"/>
      <c r="D47" s="27"/>
      <c r="E47" s="27"/>
      <c r="F47" s="27"/>
      <c r="G47" s="27"/>
      <c r="H47" s="29"/>
    </row>
    <row r="48" ht="15.75" customHeight="1">
      <c r="A48" s="57" t="s">
        <v>11</v>
      </c>
      <c r="B48" s="60" t="s">
        <v>221</v>
      </c>
      <c r="C48" s="27"/>
      <c r="D48" s="27"/>
      <c r="E48" s="27"/>
      <c r="F48" s="27"/>
      <c r="G48" s="27"/>
      <c r="H48" s="29"/>
    </row>
    <row r="49" ht="15.75" customHeight="1">
      <c r="A49" s="57" t="s">
        <v>189</v>
      </c>
      <c r="B49" s="128">
        <v>0.0</v>
      </c>
      <c r="C49" s="27"/>
      <c r="D49" s="27"/>
      <c r="E49" s="27"/>
      <c r="F49" s="27"/>
      <c r="G49" s="27"/>
      <c r="H49" s="29"/>
    </row>
    <row r="50" ht="15.75" customHeight="1">
      <c r="A50" s="57" t="s">
        <v>39</v>
      </c>
      <c r="B50" s="25"/>
      <c r="C50" s="27"/>
      <c r="D50" s="27"/>
      <c r="E50" s="27"/>
      <c r="F50" s="27"/>
      <c r="G50" s="27"/>
      <c r="H50" s="29"/>
    </row>
    <row r="51" ht="15.75" customHeight="1">
      <c r="A51" s="121" t="s">
        <v>222</v>
      </c>
      <c r="B51" s="16"/>
      <c r="C51" s="16"/>
      <c r="D51" s="16"/>
      <c r="E51" s="16"/>
      <c r="F51" s="16"/>
      <c r="G51" s="16"/>
      <c r="H51" s="16"/>
    </row>
    <row r="52" ht="15.75" customHeight="1">
      <c r="A52" s="113" t="s">
        <v>223</v>
      </c>
      <c r="B52" s="27"/>
      <c r="C52" s="27"/>
      <c r="D52" s="27"/>
      <c r="E52" s="27"/>
      <c r="F52" s="27"/>
      <c r="G52" s="27"/>
      <c r="H52" s="29"/>
    </row>
    <row r="53" ht="15.75" customHeight="1">
      <c r="A53" s="126" t="s">
        <v>256</v>
      </c>
      <c r="B53" s="102"/>
      <c r="C53" s="102"/>
      <c r="D53" s="102"/>
      <c r="E53" s="102"/>
      <c r="F53" s="102"/>
      <c r="G53" s="102"/>
      <c r="H53" s="103"/>
    </row>
    <row r="54" ht="15.75" customHeight="1">
      <c r="A54" s="122"/>
      <c r="H54" s="123"/>
    </row>
    <row r="55" ht="15.75" customHeight="1">
      <c r="A55" s="104"/>
      <c r="B55" s="105"/>
      <c r="C55" s="105"/>
      <c r="D55" s="105"/>
      <c r="E55" s="105"/>
      <c r="F55" s="105"/>
      <c r="G55" s="105"/>
      <c r="H55" s="106"/>
    </row>
    <row r="56" ht="15.75" customHeight="1"/>
    <row r="57" ht="15.75" customHeight="1">
      <c r="A57" s="84" t="s">
        <v>228</v>
      </c>
    </row>
    <row r="58">
      <c r="A58" s="57" t="s">
        <v>220</v>
      </c>
      <c r="B58" s="25"/>
      <c r="C58" s="27"/>
      <c r="D58" s="27"/>
      <c r="E58" s="27"/>
      <c r="F58" s="27"/>
      <c r="G58" s="27"/>
      <c r="H58" s="29"/>
    </row>
    <row r="59" ht="15.75" customHeight="1">
      <c r="A59" s="57" t="s">
        <v>11</v>
      </c>
      <c r="B59" s="25"/>
      <c r="C59" s="27"/>
      <c r="D59" s="27"/>
      <c r="E59" s="27"/>
      <c r="F59" s="27"/>
      <c r="G59" s="27"/>
      <c r="H59" s="29"/>
    </row>
    <row r="60" ht="15.75" customHeight="1">
      <c r="A60" s="57" t="s">
        <v>189</v>
      </c>
      <c r="B60" s="128"/>
      <c r="C60" s="27"/>
      <c r="D60" s="27"/>
      <c r="E60" s="27"/>
      <c r="F60" s="27"/>
      <c r="G60" s="27"/>
      <c r="H60" s="29"/>
    </row>
    <row r="61" ht="15.75" customHeight="1">
      <c r="A61" s="57" t="s">
        <v>39</v>
      </c>
      <c r="B61" s="128"/>
      <c r="C61" s="27"/>
      <c r="D61" s="27"/>
      <c r="E61" s="27"/>
      <c r="F61" s="27"/>
      <c r="G61" s="27"/>
      <c r="H61" s="29"/>
    </row>
    <row r="62" ht="15.75" customHeight="1">
      <c r="A62" s="129" t="s">
        <v>232</v>
      </c>
      <c r="B62" s="16"/>
      <c r="C62" s="16"/>
      <c r="D62" s="16"/>
      <c r="E62" s="16"/>
      <c r="F62" s="16"/>
      <c r="G62" s="16"/>
      <c r="H62" s="16"/>
    </row>
    <row r="63" ht="15.75" customHeight="1">
      <c r="A63" s="113" t="s">
        <v>223</v>
      </c>
      <c r="B63" s="27"/>
      <c r="C63" s="27"/>
      <c r="D63" s="27"/>
      <c r="E63" s="27"/>
      <c r="F63" s="27"/>
      <c r="G63" s="27"/>
      <c r="H63" s="29"/>
    </row>
    <row r="64" ht="15.75" customHeight="1">
      <c r="A64" s="130"/>
      <c r="B64" s="102"/>
      <c r="C64" s="102"/>
      <c r="D64" s="102"/>
      <c r="E64" s="102"/>
      <c r="F64" s="102"/>
      <c r="G64" s="102"/>
      <c r="H64" s="103"/>
    </row>
    <row r="65" ht="15.75" customHeight="1">
      <c r="A65" s="122"/>
      <c r="H65" s="123"/>
    </row>
    <row r="66" ht="15.75" customHeight="1">
      <c r="A66" s="104"/>
      <c r="B66" s="105"/>
      <c r="C66" s="105"/>
      <c r="D66" s="105"/>
      <c r="E66" s="105"/>
      <c r="F66" s="105"/>
      <c r="G66" s="105"/>
      <c r="H66" s="106"/>
    </row>
    <row r="67" ht="15.75" customHeight="1"/>
    <row r="68" ht="15.75" customHeight="1">
      <c r="A68" s="111" t="s">
        <v>234</v>
      </c>
      <c r="G68" s="79" t="s">
        <v>39</v>
      </c>
      <c r="H68" s="112">
        <v>10.0</v>
      </c>
    </row>
    <row r="69" ht="15.75" customHeight="1">
      <c r="G69" s="84" t="s">
        <v>235</v>
      </c>
    </row>
    <row r="70" ht="15.75" customHeight="1">
      <c r="A70" s="57" t="s">
        <v>39</v>
      </c>
      <c r="B70" s="128"/>
      <c r="C70" s="27"/>
      <c r="D70" s="27"/>
      <c r="E70" s="27"/>
      <c r="F70" s="27"/>
      <c r="G70" s="27"/>
      <c r="H70" s="29"/>
    </row>
    <row r="71" ht="15.75" customHeight="1">
      <c r="A71" s="118" t="s">
        <v>236</v>
      </c>
      <c r="B71" s="27"/>
      <c r="C71" s="27"/>
      <c r="D71" s="27"/>
      <c r="E71" s="27"/>
      <c r="F71" s="27"/>
      <c r="G71" s="27"/>
      <c r="H71" s="29"/>
    </row>
    <row r="72" ht="15.75" customHeight="1">
      <c r="A72" s="134" t="s">
        <v>246</v>
      </c>
      <c r="B72" s="102"/>
      <c r="C72" s="102"/>
      <c r="D72" s="102"/>
      <c r="E72" s="102"/>
      <c r="F72" s="102"/>
      <c r="G72" s="102"/>
      <c r="H72" s="103"/>
    </row>
    <row r="73" ht="15.75" customHeight="1">
      <c r="A73" s="104"/>
      <c r="B73" s="105"/>
      <c r="C73" s="105"/>
      <c r="D73" s="105"/>
      <c r="E73" s="105"/>
      <c r="F73" s="105"/>
      <c r="G73" s="105"/>
      <c r="H73" s="106"/>
    </row>
    <row r="74" ht="15.75" customHeight="1">
      <c r="A74" s="84" t="s">
        <v>237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7" t="s">
        <v>188</v>
      </c>
    </row>
    <row r="3" ht="15.75" customHeight="1"/>
    <row r="4" ht="15.75" customHeight="1">
      <c r="B4" s="12" t="s">
        <v>1</v>
      </c>
      <c r="C4" s="107" t="str">
        <f>'Diseño'!C4</f>
        <v>781 - Organización de Lenguajes y Compiladores 2</v>
      </c>
      <c r="D4" s="27"/>
      <c r="E4" s="27"/>
      <c r="F4" s="27"/>
      <c r="G4" s="29"/>
    </row>
    <row r="5" ht="15.75" customHeight="1">
      <c r="B5" s="32" t="s">
        <v>22</v>
      </c>
      <c r="C5" s="25">
        <v>8.0</v>
      </c>
      <c r="D5" s="27"/>
      <c r="E5" s="27"/>
      <c r="F5" s="27"/>
      <c r="G5" s="29"/>
    </row>
    <row r="6" ht="15.75" customHeight="1">
      <c r="B6" s="108" t="s">
        <v>28</v>
      </c>
      <c r="C6" s="25">
        <f>H10+H21+H44+H68</f>
        <v>100</v>
      </c>
      <c r="D6" s="27"/>
      <c r="E6" s="27"/>
      <c r="F6" s="27"/>
      <c r="G6" s="29"/>
      <c r="I6" s="16"/>
    </row>
    <row r="7" ht="15.75" customHeight="1">
      <c r="B7" s="108" t="s">
        <v>189</v>
      </c>
      <c r="C7" s="25">
        <f>B49+B60</f>
        <v>0</v>
      </c>
      <c r="D7" s="27"/>
      <c r="E7" s="27"/>
      <c r="F7" s="27"/>
      <c r="G7" s="29"/>
    </row>
    <row r="8" ht="15.75" customHeight="1">
      <c r="B8" s="108" t="s">
        <v>190</v>
      </c>
      <c r="C8" s="110" t="str">
        <f>IF(H44&lt;=0, "❌ ERROR: La Actividad 1 debe tener un tiempo mayor a 0.", IF(H21&gt;60, "❌ ERROR: El 'Área de Conocimiento' no puede exceder los 60 min.", IF(C6&lt;100, "❌ ERROR: El tiempo total debe ser de al menos 100 min.", "✅ VALIDACIÓN CORRECTA")))</f>
        <v>✅ VALIDACIÓN CORRECTA</v>
      </c>
      <c r="D8" s="27"/>
      <c r="E8" s="27"/>
      <c r="F8" s="27"/>
      <c r="G8" s="29"/>
      <c r="I8" s="16"/>
      <c r="J8" s="16"/>
      <c r="K8" s="16"/>
    </row>
    <row r="9" ht="15.75" customHeight="1"/>
    <row r="10" ht="15.75" customHeight="1">
      <c r="A10" s="111" t="s">
        <v>191</v>
      </c>
      <c r="G10" s="79" t="s">
        <v>39</v>
      </c>
      <c r="H10" s="112">
        <v>5.0</v>
      </c>
    </row>
    <row r="11" ht="15.75" customHeight="1">
      <c r="G11" s="84" t="s">
        <v>202</v>
      </c>
    </row>
    <row r="12" ht="15.75" customHeight="1">
      <c r="A12" s="57" t="s">
        <v>193</v>
      </c>
    </row>
    <row r="13" ht="15.75" customHeight="1">
      <c r="A13" s="65" t="s">
        <v>39</v>
      </c>
      <c r="B13" s="53" t="s">
        <v>257</v>
      </c>
      <c r="C13" s="27"/>
      <c r="D13" s="27"/>
      <c r="E13" s="27"/>
      <c r="F13" s="27"/>
      <c r="G13" s="27"/>
      <c r="H13" s="29"/>
    </row>
    <row r="14" ht="15.75" customHeight="1">
      <c r="A14" s="113" t="s">
        <v>195</v>
      </c>
      <c r="B14" s="27"/>
      <c r="C14" s="27"/>
      <c r="D14" s="27"/>
      <c r="E14" s="27"/>
      <c r="F14" s="27"/>
      <c r="G14" s="27"/>
      <c r="H14" s="29"/>
    </row>
    <row r="15" ht="15.75" customHeight="1">
      <c r="A15" s="101" t="s">
        <v>258</v>
      </c>
      <c r="B15" s="102"/>
      <c r="C15" s="102"/>
      <c r="D15" s="102"/>
      <c r="E15" s="102"/>
      <c r="F15" s="102"/>
      <c r="G15" s="102"/>
      <c r="H15" s="103"/>
    </row>
    <row r="16" ht="15.75" customHeight="1">
      <c r="A16" s="104"/>
      <c r="B16" s="105"/>
      <c r="C16" s="105"/>
      <c r="D16" s="105"/>
      <c r="E16" s="105"/>
      <c r="F16" s="105"/>
      <c r="G16" s="105"/>
      <c r="H16" s="106"/>
    </row>
    <row r="17" ht="15.75" customHeight="1">
      <c r="A17" s="113" t="s">
        <v>197</v>
      </c>
      <c r="B17" s="27"/>
      <c r="C17" s="27"/>
      <c r="D17" s="27"/>
      <c r="E17" s="27"/>
      <c r="F17" s="27"/>
      <c r="G17" s="27"/>
      <c r="H17" s="29"/>
    </row>
    <row r="18" ht="15.75" customHeight="1">
      <c r="A18" s="114" t="s">
        <v>259</v>
      </c>
      <c r="B18" s="102"/>
      <c r="C18" s="102"/>
      <c r="D18" s="102"/>
      <c r="E18" s="102"/>
      <c r="F18" s="102"/>
      <c r="G18" s="102"/>
      <c r="H18" s="103"/>
    </row>
    <row r="19" ht="15.75" customHeight="1">
      <c r="A19" s="104"/>
      <c r="B19" s="105"/>
      <c r="C19" s="105"/>
      <c r="D19" s="105"/>
      <c r="E19" s="105"/>
      <c r="F19" s="105"/>
      <c r="G19" s="105"/>
      <c r="H19" s="106"/>
    </row>
    <row r="20" ht="15.75" customHeight="1"/>
    <row r="21" ht="15.75" customHeight="1">
      <c r="A21" s="111" t="s">
        <v>199</v>
      </c>
      <c r="G21" s="79" t="s">
        <v>39</v>
      </c>
      <c r="H21" s="112">
        <v>40.0</v>
      </c>
      <c r="I21" s="16"/>
    </row>
    <row r="22" ht="15.75" customHeight="1">
      <c r="G22" s="84" t="s">
        <v>200</v>
      </c>
    </row>
    <row r="23" ht="15.75" customHeight="1">
      <c r="A23" s="57" t="s">
        <v>201</v>
      </c>
      <c r="B23" s="60" t="s">
        <v>93</v>
      </c>
      <c r="C23" s="27"/>
      <c r="D23" s="27"/>
      <c r="E23" s="27"/>
      <c r="F23" s="27"/>
      <c r="G23" s="27"/>
      <c r="H23" s="29"/>
    </row>
    <row r="24" ht="15.75" customHeight="1">
      <c r="A24" s="57" t="s">
        <v>201</v>
      </c>
      <c r="B24" s="25"/>
      <c r="C24" s="27"/>
      <c r="D24" s="27"/>
      <c r="E24" s="27"/>
      <c r="F24" s="27"/>
      <c r="G24" s="27"/>
      <c r="H24" s="29"/>
    </row>
    <row r="25" ht="15.75" customHeight="1"/>
    <row r="26" ht="15.75" customHeight="1">
      <c r="A26" s="116" t="s">
        <v>205</v>
      </c>
      <c r="B26" s="16"/>
      <c r="C26" s="16"/>
      <c r="D26" s="16"/>
    </row>
    <row r="27" ht="15.75" customHeight="1">
      <c r="A27" s="97" t="s">
        <v>16</v>
      </c>
      <c r="B27" s="98" t="s">
        <v>164</v>
      </c>
      <c r="C27" s="29"/>
      <c r="D27" s="98" t="s">
        <v>168</v>
      </c>
      <c r="E27" s="29"/>
      <c r="F27" s="98" t="s">
        <v>169</v>
      </c>
      <c r="G27" s="27"/>
      <c r="H27" s="29"/>
    </row>
    <row r="28" ht="15.75" customHeight="1">
      <c r="A28" s="32">
        <v>1.0</v>
      </c>
      <c r="B28" s="25">
        <f>IFERROR(__xludf.DUMMYFUNCTION("FILTER('Diseño'!D:D,'Diseño'!H:H=$C$5)"),3.0)</f>
        <v>3</v>
      </c>
      <c r="C28" s="29"/>
      <c r="D28" s="25" t="str">
        <f>IFERROR(__xludf.DUMMYFUNCTION("FILTER('Diseño'!E:E,'Diseño'!H:H=$C$5)"),"Entornos y memoria en un compilador")</f>
        <v>Entornos y memoria en un compilador</v>
      </c>
      <c r="E28" s="29"/>
      <c r="F28" s="25" t="str">
        <f>IFERROR(__xludf.DUMMYFUNCTION("FILTER('Diseño'!F:F,'Diseño'!H:H=$C$5)"),"Tabla de Símbolos")</f>
        <v>Tabla de Símbolos</v>
      </c>
      <c r="G28" s="27"/>
      <c r="H28" s="29"/>
    </row>
    <row r="29" ht="15.75" customHeight="1">
      <c r="A29" s="32">
        <v>2.0</v>
      </c>
      <c r="B29" s="25">
        <f>IFERROR(__xludf.DUMMYFUNCTION("""COMPUTED_VALUE"""),3.0)</f>
        <v>3</v>
      </c>
      <c r="C29" s="29"/>
      <c r="D29" s="25" t="str">
        <f>IFERROR(__xludf.DUMMYFUNCTION("""COMPUTED_VALUE"""),"Entornos y memoria en un compilador")</f>
        <v>Entornos y memoria en un compilador</v>
      </c>
      <c r="E29" s="29"/>
      <c r="F29" s="25" t="str">
        <f>IFERROR(__xludf.DUMMYFUNCTION("""COMPUTED_VALUE"""),"Stack, Heap y punteros")</f>
        <v>Stack, Heap y punteros</v>
      </c>
      <c r="G29" s="27"/>
      <c r="H29" s="29"/>
    </row>
    <row r="30" ht="15.75" customHeight="1">
      <c r="A30" s="32">
        <v>3.0</v>
      </c>
      <c r="B30" s="25">
        <f>IFERROR(__xludf.DUMMYFUNCTION("""COMPUTED_VALUE"""),3.0)</f>
        <v>3</v>
      </c>
      <c r="C30" s="29"/>
      <c r="D30" s="25" t="str">
        <f>IFERROR(__xludf.DUMMYFUNCTION("""COMPUTED_VALUE"""),"Entornos y memoria en un compilador")</f>
        <v>Entornos y memoria en un compilador</v>
      </c>
      <c r="E30" s="29"/>
      <c r="F30" s="25" t="str">
        <f>IFERROR(__xludf.DUMMYFUNCTION("""COMPUTED_VALUE"""),"Resolución de variables")</f>
        <v>Resolución de variables</v>
      </c>
      <c r="G30" s="27"/>
      <c r="H30" s="29"/>
    </row>
    <row r="31" ht="15.75" customHeight="1">
      <c r="A31" s="32">
        <v>4.0</v>
      </c>
      <c r="B31" s="25">
        <f>IFERROR(__xludf.DUMMYFUNCTION("""COMPUTED_VALUE"""),3.0)</f>
        <v>3</v>
      </c>
      <c r="C31" s="29"/>
      <c r="D31" s="25" t="str">
        <f>IFERROR(__xludf.DUMMYFUNCTION("""COMPUTED_VALUE"""),"Entornos y memoria en un compilador")</f>
        <v>Entornos y memoria en un compilador</v>
      </c>
      <c r="E31" s="29"/>
      <c r="F31" s="25" t="str">
        <f>IFERROR(__xludf.DUMMYFUNCTION("""COMPUTED_VALUE"""),"Estructuras de Control en C3D (Etiquetas y Saltos)")</f>
        <v>Estructuras de Control en C3D (Etiquetas y Saltos)</v>
      </c>
      <c r="G31" s="27"/>
      <c r="H31" s="29"/>
    </row>
    <row r="32" ht="15.75" customHeight="1">
      <c r="A32" s="32">
        <v>5.0</v>
      </c>
      <c r="B32" s="25"/>
      <c r="C32" s="29"/>
      <c r="D32" s="25"/>
      <c r="E32" s="29"/>
      <c r="F32" s="25"/>
      <c r="G32" s="27"/>
      <c r="H32" s="29"/>
    </row>
    <row r="33" ht="15.75" customHeight="1">
      <c r="A33" s="32">
        <v>6.0</v>
      </c>
      <c r="B33" s="25"/>
      <c r="C33" s="29"/>
      <c r="D33" s="25"/>
      <c r="E33" s="29"/>
      <c r="F33" s="25"/>
      <c r="G33" s="27"/>
      <c r="H33" s="29"/>
    </row>
    <row r="34" ht="15.75" customHeight="1">
      <c r="A34" s="32">
        <v>7.0</v>
      </c>
      <c r="B34" s="25"/>
      <c r="C34" s="29"/>
      <c r="D34" s="25"/>
      <c r="E34" s="29"/>
      <c r="F34" s="25"/>
      <c r="G34" s="27"/>
      <c r="H34" s="29"/>
    </row>
    <row r="35" ht="15.75" customHeight="1"/>
    <row r="36" ht="15.75" customHeight="1">
      <c r="A36" s="116" t="s">
        <v>207</v>
      </c>
    </row>
    <row r="37" ht="15.75" customHeight="1">
      <c r="A37" s="16"/>
      <c r="B37" s="16"/>
      <c r="C37" s="16"/>
      <c r="D37" s="16"/>
      <c r="E37" s="16"/>
      <c r="F37" s="16"/>
      <c r="G37" s="16"/>
      <c r="H37" s="16"/>
    </row>
    <row r="38">
      <c r="A38" s="97" t="s">
        <v>208</v>
      </c>
      <c r="B38" s="97" t="s">
        <v>70</v>
      </c>
      <c r="C38" s="117" t="s">
        <v>209</v>
      </c>
      <c r="D38" s="118" t="s">
        <v>210</v>
      </c>
      <c r="E38" s="27"/>
      <c r="F38" s="27"/>
      <c r="G38" s="27"/>
      <c r="H38" s="29"/>
      <c r="I38" s="119" t="s">
        <v>129</v>
      </c>
    </row>
    <row r="39" ht="15.75" customHeight="1">
      <c r="A39" s="32" t="s">
        <v>211</v>
      </c>
      <c r="B39" s="32" t="s">
        <v>212</v>
      </c>
      <c r="C39" s="32">
        <v>30.0</v>
      </c>
      <c r="D39" s="60">
        <v>15.0</v>
      </c>
      <c r="E39" s="27"/>
      <c r="F39" s="27"/>
      <c r="G39" s="27"/>
      <c r="H39" s="29"/>
      <c r="I39" s="32" t="str">
        <f t="shared" ref="I39:I42" si="1">IF(D39&lt;=C39,"Correcto", "Corregir")</f>
        <v>Correcto</v>
      </c>
    </row>
    <row r="40" ht="15.75" customHeight="1">
      <c r="A40" s="32" t="s">
        <v>213</v>
      </c>
      <c r="B40" s="32" t="s">
        <v>212</v>
      </c>
      <c r="C40" s="32">
        <v>6.0</v>
      </c>
      <c r="D40" s="25"/>
      <c r="E40" s="27"/>
      <c r="F40" s="27"/>
      <c r="G40" s="27"/>
      <c r="H40" s="29"/>
      <c r="I40" s="32" t="str">
        <f t="shared" si="1"/>
        <v>Correcto</v>
      </c>
    </row>
    <row r="41" ht="15.75" customHeight="1">
      <c r="A41" s="32" t="s">
        <v>214</v>
      </c>
      <c r="B41" s="32" t="s">
        <v>215</v>
      </c>
      <c r="C41" s="32">
        <v>10.0</v>
      </c>
      <c r="D41" s="25"/>
      <c r="E41" s="27"/>
      <c r="F41" s="27"/>
      <c r="G41" s="27"/>
      <c r="H41" s="29"/>
      <c r="I41" s="32" t="str">
        <f t="shared" si="1"/>
        <v>Correcto</v>
      </c>
    </row>
    <row r="42" ht="15.75" customHeight="1">
      <c r="A42" s="32" t="s">
        <v>216</v>
      </c>
      <c r="B42" s="32" t="s">
        <v>212</v>
      </c>
      <c r="C42" s="32">
        <v>30.0</v>
      </c>
      <c r="D42" s="60">
        <v>25.0</v>
      </c>
      <c r="E42" s="27"/>
      <c r="F42" s="27"/>
      <c r="G42" s="27"/>
      <c r="H42" s="29"/>
      <c r="I42" s="32" t="str">
        <f t="shared" si="1"/>
        <v>Correcto</v>
      </c>
    </row>
    <row r="43" ht="15.75" customHeight="1"/>
    <row r="44" ht="15.75" customHeight="1">
      <c r="A44" s="111" t="s">
        <v>217</v>
      </c>
      <c r="G44" s="79" t="s">
        <v>39</v>
      </c>
      <c r="H44" s="112">
        <v>45.0</v>
      </c>
    </row>
    <row r="45" ht="15.75" customHeight="1">
      <c r="G45" s="84" t="s">
        <v>218</v>
      </c>
    </row>
    <row r="46" ht="15.75" customHeight="1">
      <c r="A46" s="84" t="s">
        <v>219</v>
      </c>
    </row>
    <row r="47">
      <c r="A47" s="57" t="s">
        <v>220</v>
      </c>
      <c r="B47" s="60" t="s">
        <v>93</v>
      </c>
      <c r="C47" s="27"/>
      <c r="D47" s="27"/>
      <c r="E47" s="27"/>
      <c r="F47" s="27"/>
      <c r="G47" s="27"/>
      <c r="H47" s="29"/>
    </row>
    <row r="48" ht="15.75" customHeight="1">
      <c r="A48" s="57" t="s">
        <v>11</v>
      </c>
      <c r="B48" s="60" t="s">
        <v>254</v>
      </c>
      <c r="C48" s="27"/>
      <c r="D48" s="27"/>
      <c r="E48" s="27"/>
      <c r="F48" s="27"/>
      <c r="G48" s="27"/>
      <c r="H48" s="29"/>
    </row>
    <row r="49" ht="15.75" customHeight="1">
      <c r="A49" s="57" t="s">
        <v>189</v>
      </c>
      <c r="B49" s="128">
        <v>0.0</v>
      </c>
      <c r="C49" s="27"/>
      <c r="D49" s="27"/>
      <c r="E49" s="27"/>
      <c r="F49" s="27"/>
      <c r="G49" s="27"/>
      <c r="H49" s="29"/>
    </row>
    <row r="50" ht="15.75" customHeight="1">
      <c r="A50" s="57" t="s">
        <v>39</v>
      </c>
      <c r="B50" s="25"/>
      <c r="C50" s="27"/>
      <c r="D50" s="27"/>
      <c r="E50" s="27"/>
      <c r="F50" s="27"/>
      <c r="G50" s="27"/>
      <c r="H50" s="29"/>
    </row>
    <row r="51" ht="15.75" customHeight="1">
      <c r="A51" s="121" t="s">
        <v>222</v>
      </c>
      <c r="B51" s="16"/>
      <c r="C51" s="16"/>
      <c r="D51" s="16"/>
      <c r="E51" s="16"/>
      <c r="F51" s="16"/>
      <c r="G51" s="16"/>
      <c r="H51" s="16"/>
    </row>
    <row r="52" ht="15.75" customHeight="1">
      <c r="A52" s="113" t="s">
        <v>223</v>
      </c>
      <c r="B52" s="27"/>
      <c r="C52" s="27"/>
      <c r="D52" s="27"/>
      <c r="E52" s="27"/>
      <c r="F52" s="27"/>
      <c r="G52" s="27"/>
      <c r="H52" s="29"/>
    </row>
    <row r="53" ht="15.75" customHeight="1">
      <c r="A53" s="134" t="s">
        <v>264</v>
      </c>
      <c r="B53" s="102"/>
      <c r="C53" s="102"/>
      <c r="D53" s="102"/>
      <c r="E53" s="102"/>
      <c r="F53" s="102"/>
      <c r="G53" s="102"/>
      <c r="H53" s="103"/>
    </row>
    <row r="54" ht="15.75" customHeight="1">
      <c r="A54" s="122"/>
      <c r="H54" s="123"/>
    </row>
    <row r="55" ht="15.75" customHeight="1">
      <c r="A55" s="104"/>
      <c r="B55" s="105"/>
      <c r="C55" s="105"/>
      <c r="D55" s="105"/>
      <c r="E55" s="105"/>
      <c r="F55" s="105"/>
      <c r="G55" s="105"/>
      <c r="H55" s="106"/>
    </row>
    <row r="56" ht="15.75" customHeight="1"/>
    <row r="57" ht="15.75" customHeight="1">
      <c r="A57" s="84" t="s">
        <v>228</v>
      </c>
    </row>
    <row r="58">
      <c r="A58" s="57" t="s">
        <v>220</v>
      </c>
      <c r="B58" s="25"/>
      <c r="C58" s="27"/>
      <c r="D58" s="27"/>
      <c r="E58" s="27"/>
      <c r="F58" s="27"/>
      <c r="G58" s="27"/>
      <c r="H58" s="29"/>
    </row>
    <row r="59" ht="15.75" customHeight="1">
      <c r="A59" s="57" t="s">
        <v>11</v>
      </c>
      <c r="B59" s="25"/>
      <c r="C59" s="27"/>
      <c r="D59" s="27"/>
      <c r="E59" s="27"/>
      <c r="F59" s="27"/>
      <c r="G59" s="27"/>
      <c r="H59" s="29"/>
    </row>
    <row r="60" ht="15.75" customHeight="1">
      <c r="A60" s="57" t="s">
        <v>189</v>
      </c>
      <c r="B60" s="128"/>
      <c r="C60" s="27"/>
      <c r="D60" s="27"/>
      <c r="E60" s="27"/>
      <c r="F60" s="27"/>
      <c r="G60" s="27"/>
      <c r="H60" s="29"/>
    </row>
    <row r="61" ht="15.75" customHeight="1">
      <c r="A61" s="57" t="s">
        <v>39</v>
      </c>
      <c r="B61" s="128"/>
      <c r="C61" s="27"/>
      <c r="D61" s="27"/>
      <c r="E61" s="27"/>
      <c r="F61" s="27"/>
      <c r="G61" s="27"/>
      <c r="H61" s="29"/>
    </row>
    <row r="62" ht="15.75" customHeight="1">
      <c r="A62" s="129" t="s">
        <v>232</v>
      </c>
      <c r="B62" s="16"/>
      <c r="C62" s="16"/>
      <c r="D62" s="16"/>
      <c r="E62" s="16"/>
      <c r="F62" s="16"/>
      <c r="G62" s="16"/>
      <c r="H62" s="16"/>
    </row>
    <row r="63" ht="15.75" customHeight="1">
      <c r="A63" s="113" t="s">
        <v>223</v>
      </c>
      <c r="B63" s="27"/>
      <c r="C63" s="27"/>
      <c r="D63" s="27"/>
      <c r="E63" s="27"/>
      <c r="F63" s="27"/>
      <c r="G63" s="27"/>
      <c r="H63" s="29"/>
    </row>
    <row r="64" ht="15.75" customHeight="1">
      <c r="A64" s="130"/>
      <c r="B64" s="102"/>
      <c r="C64" s="102"/>
      <c r="D64" s="102"/>
      <c r="E64" s="102"/>
      <c r="F64" s="102"/>
      <c r="G64" s="102"/>
      <c r="H64" s="103"/>
    </row>
    <row r="65" ht="15.75" customHeight="1">
      <c r="A65" s="122"/>
      <c r="H65" s="123"/>
    </row>
    <row r="66" ht="15.75" customHeight="1">
      <c r="A66" s="104"/>
      <c r="B66" s="105"/>
      <c r="C66" s="105"/>
      <c r="D66" s="105"/>
      <c r="E66" s="105"/>
      <c r="F66" s="105"/>
      <c r="G66" s="105"/>
      <c r="H66" s="106"/>
    </row>
    <row r="67" ht="15.75" customHeight="1"/>
    <row r="68" ht="15.75" customHeight="1">
      <c r="A68" s="111" t="s">
        <v>234</v>
      </c>
      <c r="G68" s="79" t="s">
        <v>39</v>
      </c>
      <c r="H68" s="112">
        <v>10.0</v>
      </c>
    </row>
    <row r="69" ht="15.75" customHeight="1">
      <c r="G69" s="84" t="s">
        <v>235</v>
      </c>
    </row>
    <row r="70" ht="15.75" customHeight="1">
      <c r="A70" s="57" t="s">
        <v>39</v>
      </c>
      <c r="B70" s="128"/>
      <c r="C70" s="27"/>
      <c r="D70" s="27"/>
      <c r="E70" s="27"/>
      <c r="F70" s="27"/>
      <c r="G70" s="27"/>
      <c r="H70" s="29"/>
    </row>
    <row r="71" ht="15.75" customHeight="1">
      <c r="A71" s="118" t="s">
        <v>236</v>
      </c>
      <c r="B71" s="27"/>
      <c r="C71" s="27"/>
      <c r="D71" s="27"/>
      <c r="E71" s="27"/>
      <c r="F71" s="27"/>
      <c r="G71" s="27"/>
      <c r="H71" s="29"/>
    </row>
    <row r="72" ht="15.75" customHeight="1">
      <c r="A72" s="134" t="s">
        <v>246</v>
      </c>
      <c r="B72" s="102"/>
      <c r="C72" s="102"/>
      <c r="D72" s="102"/>
      <c r="E72" s="102"/>
      <c r="F72" s="102"/>
      <c r="G72" s="102"/>
      <c r="H72" s="103"/>
    </row>
    <row r="73" ht="15.75" customHeight="1">
      <c r="A73" s="104"/>
      <c r="B73" s="105"/>
      <c r="C73" s="105"/>
      <c r="D73" s="105"/>
      <c r="E73" s="105"/>
      <c r="F73" s="105"/>
      <c r="G73" s="105"/>
      <c r="H73" s="106"/>
    </row>
    <row r="74" ht="15.75" customHeight="1">
      <c r="A74" s="84" t="s">
        <v>237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0">
    <mergeCell ref="D39:H39"/>
    <mergeCell ref="D40:H40"/>
    <mergeCell ref="D41:H41"/>
    <mergeCell ref="D42:H42"/>
    <mergeCell ref="A44:F44"/>
    <mergeCell ref="B47:H47"/>
    <mergeCell ref="B48:H48"/>
    <mergeCell ref="B61:H61"/>
    <mergeCell ref="A63:H63"/>
    <mergeCell ref="A64:H66"/>
    <mergeCell ref="A68:F68"/>
    <mergeCell ref="B70:H70"/>
    <mergeCell ref="A71:H71"/>
    <mergeCell ref="A72:H73"/>
    <mergeCell ref="B49:H49"/>
    <mergeCell ref="B50:H50"/>
    <mergeCell ref="A52:H52"/>
    <mergeCell ref="A53:H55"/>
    <mergeCell ref="B58:H58"/>
    <mergeCell ref="B59:H59"/>
    <mergeCell ref="B60:H60"/>
    <mergeCell ref="C4:G4"/>
    <mergeCell ref="C5:G5"/>
    <mergeCell ref="C6:G6"/>
    <mergeCell ref="C7:G7"/>
    <mergeCell ref="C8:G8"/>
    <mergeCell ref="A10:F10"/>
    <mergeCell ref="B13:H13"/>
    <mergeCell ref="A14:H14"/>
    <mergeCell ref="A15:H16"/>
    <mergeCell ref="A17:H17"/>
    <mergeCell ref="A18:H19"/>
    <mergeCell ref="A21:F21"/>
    <mergeCell ref="B23:H23"/>
    <mergeCell ref="B24:H24"/>
    <mergeCell ref="D29:E29"/>
    <mergeCell ref="F29:H29"/>
    <mergeCell ref="B27:C27"/>
    <mergeCell ref="D27:E27"/>
    <mergeCell ref="F27:H27"/>
    <mergeCell ref="B28:C28"/>
    <mergeCell ref="D28:E28"/>
    <mergeCell ref="F28:H28"/>
    <mergeCell ref="B29:C29"/>
    <mergeCell ref="D32:E32"/>
    <mergeCell ref="F32:H32"/>
    <mergeCell ref="B30:C30"/>
    <mergeCell ref="D30:E30"/>
    <mergeCell ref="F30:H30"/>
    <mergeCell ref="B31:C31"/>
    <mergeCell ref="D31:E31"/>
    <mergeCell ref="F31:H31"/>
    <mergeCell ref="B32:C32"/>
    <mergeCell ref="B33:C33"/>
    <mergeCell ref="D33:E33"/>
    <mergeCell ref="F33:H33"/>
    <mergeCell ref="B34:C34"/>
    <mergeCell ref="D34:E34"/>
    <mergeCell ref="F34:H34"/>
    <mergeCell ref="D38:H38"/>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7" t="s">
        <v>188</v>
      </c>
    </row>
    <row r="3" ht="15.75" customHeight="1"/>
    <row r="4" ht="15.75" customHeight="1">
      <c r="B4" s="12" t="s">
        <v>1</v>
      </c>
      <c r="C4" s="107" t="str">
        <f>'Diseño'!C4</f>
        <v>781 - Organización de Lenguajes y Compiladores 2</v>
      </c>
      <c r="D4" s="27"/>
      <c r="E4" s="27"/>
      <c r="F4" s="27"/>
      <c r="G4" s="29"/>
    </row>
    <row r="5" ht="15.75" customHeight="1">
      <c r="B5" s="32" t="s">
        <v>22</v>
      </c>
      <c r="C5" s="25">
        <v>9.0</v>
      </c>
      <c r="D5" s="27"/>
      <c r="E5" s="27"/>
      <c r="F5" s="27"/>
      <c r="G5" s="29"/>
    </row>
    <row r="6" ht="15.75" customHeight="1">
      <c r="B6" s="108" t="s">
        <v>28</v>
      </c>
      <c r="C6" s="25">
        <f>H10+H21+H44+H68</f>
        <v>110</v>
      </c>
      <c r="D6" s="27"/>
      <c r="E6" s="27"/>
      <c r="F6" s="27"/>
      <c r="G6" s="29"/>
      <c r="I6" s="16"/>
    </row>
    <row r="7" ht="15.75" customHeight="1">
      <c r="B7" s="108" t="s">
        <v>189</v>
      </c>
      <c r="C7" s="25">
        <f>B49+B60</f>
        <v>0</v>
      </c>
      <c r="D7" s="27"/>
      <c r="E7" s="27"/>
      <c r="F7" s="27"/>
      <c r="G7" s="29"/>
    </row>
    <row r="8" ht="15.75" customHeight="1">
      <c r="B8" s="108" t="s">
        <v>190</v>
      </c>
      <c r="C8" s="110" t="str">
        <f>IF(H44&lt;=0, "❌ ERROR: La Actividad 1 debe tener un tiempo mayor a 0.", IF(H21&gt;60, "❌ ERROR: El 'Área de Conocimiento' no puede exceder los 60 min.", IF((H10+H21+H44)&lt;100, "❌ ERROR: El tiempo total debe ser de al menos 100 min.", "✅ VALIDACIÓN CORRECTA")))</f>
        <v>✅ VALIDACIÓN CORRECTA</v>
      </c>
      <c r="D8" s="27"/>
      <c r="E8" s="27"/>
      <c r="F8" s="27"/>
      <c r="G8" s="29"/>
      <c r="I8" s="16"/>
      <c r="J8" s="16"/>
      <c r="K8" s="16"/>
    </row>
    <row r="9" ht="15.75" customHeight="1"/>
    <row r="10" ht="15.75" customHeight="1">
      <c r="A10" s="111" t="s">
        <v>191</v>
      </c>
      <c r="G10" s="79" t="s">
        <v>39</v>
      </c>
      <c r="H10" s="112">
        <v>5.0</v>
      </c>
    </row>
    <row r="11" ht="15.75" customHeight="1">
      <c r="G11" s="84" t="s">
        <v>202</v>
      </c>
    </row>
    <row r="12" ht="15.75" customHeight="1">
      <c r="A12" s="57" t="s">
        <v>193</v>
      </c>
      <c r="B12" s="53" t="s">
        <v>260</v>
      </c>
      <c r="C12" s="27"/>
      <c r="D12" s="27"/>
      <c r="E12" s="27"/>
      <c r="F12" s="27"/>
      <c r="G12" s="27"/>
      <c r="H12" s="29"/>
    </row>
    <row r="13" ht="15.75" customHeight="1">
      <c r="A13" s="65" t="s">
        <v>39</v>
      </c>
      <c r="B13" s="25"/>
      <c r="C13" s="27"/>
      <c r="D13" s="27"/>
      <c r="E13" s="27"/>
      <c r="F13" s="27"/>
      <c r="G13" s="27"/>
      <c r="H13" s="29"/>
    </row>
    <row r="14" ht="15.75" customHeight="1">
      <c r="A14" s="113" t="s">
        <v>195</v>
      </c>
      <c r="B14" s="27"/>
      <c r="C14" s="27"/>
      <c r="D14" s="27"/>
      <c r="E14" s="27"/>
      <c r="F14" s="27"/>
      <c r="G14" s="27"/>
      <c r="H14" s="29"/>
    </row>
    <row r="15" ht="15.75" customHeight="1">
      <c r="A15" s="101" t="s">
        <v>261</v>
      </c>
      <c r="B15" s="102"/>
      <c r="C15" s="102"/>
      <c r="D15" s="102"/>
      <c r="E15" s="102"/>
      <c r="F15" s="102"/>
      <c r="G15" s="102"/>
      <c r="H15" s="103"/>
    </row>
    <row r="16" ht="15.75" customHeight="1">
      <c r="A16" s="104"/>
      <c r="B16" s="105"/>
      <c r="C16" s="105"/>
      <c r="D16" s="105"/>
      <c r="E16" s="105"/>
      <c r="F16" s="105"/>
      <c r="G16" s="105"/>
      <c r="H16" s="106"/>
    </row>
    <row r="17" ht="15.75" customHeight="1">
      <c r="A17" s="113" t="s">
        <v>197</v>
      </c>
      <c r="B17" s="27"/>
      <c r="C17" s="27"/>
      <c r="D17" s="27"/>
      <c r="E17" s="27"/>
      <c r="F17" s="27"/>
      <c r="G17" s="27"/>
      <c r="H17" s="29"/>
    </row>
    <row r="18" ht="15.75" customHeight="1">
      <c r="A18" s="130"/>
      <c r="B18" s="102"/>
      <c r="C18" s="102"/>
      <c r="D18" s="102"/>
      <c r="E18" s="102"/>
      <c r="F18" s="102"/>
      <c r="G18" s="102"/>
      <c r="H18" s="103"/>
    </row>
    <row r="19" ht="15.75" customHeight="1">
      <c r="A19" s="104"/>
      <c r="B19" s="105"/>
      <c r="C19" s="105"/>
      <c r="D19" s="105"/>
      <c r="E19" s="105"/>
      <c r="F19" s="105"/>
      <c r="G19" s="105"/>
      <c r="H19" s="106"/>
    </row>
    <row r="20" ht="15.75" customHeight="1"/>
    <row r="21" ht="15.75" customHeight="1">
      <c r="A21" s="111" t="s">
        <v>199</v>
      </c>
      <c r="G21" s="79" t="s">
        <v>39</v>
      </c>
      <c r="H21" s="112">
        <v>60.0</v>
      </c>
      <c r="I21" s="16"/>
    </row>
    <row r="22" ht="15.75" customHeight="1">
      <c r="G22" s="84" t="s">
        <v>200</v>
      </c>
    </row>
    <row r="23" ht="15.75" customHeight="1">
      <c r="A23" s="57" t="s">
        <v>201</v>
      </c>
      <c r="B23" s="60" t="s">
        <v>119</v>
      </c>
      <c r="C23" s="27"/>
      <c r="D23" s="27"/>
      <c r="E23" s="27"/>
      <c r="F23" s="27"/>
      <c r="G23" s="27"/>
      <c r="H23" s="29"/>
    </row>
    <row r="24" ht="15.75" customHeight="1">
      <c r="A24" s="57" t="s">
        <v>201</v>
      </c>
      <c r="B24" s="25"/>
      <c r="C24" s="27"/>
      <c r="D24" s="27"/>
      <c r="E24" s="27"/>
      <c r="F24" s="27"/>
      <c r="G24" s="27"/>
      <c r="H24" s="29"/>
    </row>
    <row r="25" ht="15.75" customHeight="1"/>
    <row r="26" ht="15.75" customHeight="1">
      <c r="A26" s="116" t="s">
        <v>205</v>
      </c>
      <c r="B26" s="16"/>
      <c r="C26" s="16"/>
      <c r="D26" s="16"/>
    </row>
    <row r="27" ht="15.75" customHeight="1">
      <c r="A27" s="97" t="s">
        <v>16</v>
      </c>
      <c r="B27" s="98" t="s">
        <v>164</v>
      </c>
      <c r="C27" s="29"/>
      <c r="D27" s="98" t="s">
        <v>168</v>
      </c>
      <c r="E27" s="29"/>
      <c r="F27" s="98" t="s">
        <v>169</v>
      </c>
      <c r="G27" s="27"/>
      <c r="H27" s="29"/>
    </row>
    <row r="28" ht="15.75" customHeight="1">
      <c r="A28" s="32">
        <v>1.0</v>
      </c>
      <c r="B28" s="25">
        <f>IFERROR(__xludf.DUMMYFUNCTION("FILTER('Diseño'!D:D,'Diseño'!H:H=$C$5)"),3.0)</f>
        <v>3</v>
      </c>
      <c r="C28" s="29"/>
      <c r="D28" s="25" t="str">
        <f>IFERROR(__xludf.DUMMYFUNCTION("FILTER('Diseño'!E:E,'Diseño'!H:H=$C$5)"),"Entornos y memoria en un compilador")</f>
        <v>Entornos y memoria en un compilador</v>
      </c>
      <c r="E28" s="29"/>
      <c r="F28" s="25" t="str">
        <f>IFERROR(__xludf.DUMMYFUNCTION("FILTER('Diseño'!F:F,'Diseño'!H:H=$C$5)"),"Memoria en tiempo de ejecución")</f>
        <v>Memoria en tiempo de ejecución</v>
      </c>
      <c r="G28" s="27"/>
      <c r="H28" s="29"/>
    </row>
    <row r="29" ht="15.75" customHeight="1">
      <c r="A29" s="32">
        <v>2.0</v>
      </c>
      <c r="B29" s="60">
        <f>IFERROR(__xludf.DUMMYFUNCTION("""COMPUTED_VALUE"""),3.0)</f>
        <v>3</v>
      </c>
      <c r="C29" s="29"/>
      <c r="D29" s="25" t="str">
        <f>IFERROR(__xludf.DUMMYFUNCTION("""COMPUTED_VALUE"""),"Entornos y memoria en un compilador")</f>
        <v>Entornos y memoria en un compilador</v>
      </c>
      <c r="E29" s="29"/>
      <c r="F29" s="25" t="str">
        <f>IFERROR(__xludf.DUMMYFUNCTION("""COMPUTED_VALUE"""),"Descriptores de registros y direcciones")</f>
        <v>Descriptores de registros y direcciones</v>
      </c>
      <c r="G29" s="27"/>
      <c r="H29" s="29"/>
    </row>
    <row r="30" ht="15.75" customHeight="1">
      <c r="A30" s="32">
        <v>3.0</v>
      </c>
      <c r="B30" s="25">
        <f>IFERROR(__xludf.DUMMYFUNCTION("""COMPUTED_VALUE"""),3.0)</f>
        <v>3</v>
      </c>
      <c r="C30" s="29"/>
      <c r="D30" s="25" t="str">
        <f>IFERROR(__xludf.DUMMYFUNCTION("""COMPUTED_VALUE"""),"Entornos y memoria en un compilador")</f>
        <v>Entornos y memoria en un compilador</v>
      </c>
      <c r="E30" s="29"/>
      <c r="F30" s="25" t="str">
        <f>IFERROR(__xludf.DUMMYFUNCTION("""COMPUTED_VALUE"""),"Registros de activación")</f>
        <v>Registros de activación</v>
      </c>
      <c r="G30" s="27"/>
      <c r="H30" s="29"/>
    </row>
    <row r="31" ht="15.75" customHeight="1">
      <c r="A31" s="32">
        <v>4.0</v>
      </c>
      <c r="B31" s="25">
        <f>IFERROR(__xludf.DUMMYFUNCTION("""COMPUTED_VALUE"""),3.0)</f>
        <v>3</v>
      </c>
      <c r="C31" s="29"/>
      <c r="D31" s="25" t="str">
        <f>IFERROR(__xludf.DUMMYFUNCTION("""COMPUTED_VALUE"""),"Entornos y memoria en un compilador")</f>
        <v>Entornos y memoria en un compilador</v>
      </c>
      <c r="E31" s="29"/>
      <c r="F31" s="25" t="str">
        <f>IFERROR(__xludf.DUMMYFUNCTION("""COMPUTED_VALUE"""),"Paso de argumentos")</f>
        <v>Paso de argumentos</v>
      </c>
      <c r="G31" s="27"/>
      <c r="H31" s="29"/>
    </row>
    <row r="32" ht="15.75" customHeight="1">
      <c r="A32" s="32">
        <v>5.0</v>
      </c>
      <c r="B32" s="25"/>
      <c r="C32" s="29"/>
      <c r="D32" s="25"/>
      <c r="E32" s="29"/>
      <c r="F32" s="25"/>
      <c r="G32" s="27"/>
      <c r="H32" s="29"/>
    </row>
    <row r="33" ht="15.75" customHeight="1">
      <c r="A33" s="32">
        <v>6.0</v>
      </c>
      <c r="B33" s="25"/>
      <c r="C33" s="29"/>
      <c r="D33" s="25"/>
      <c r="E33" s="29"/>
      <c r="F33" s="25"/>
      <c r="G33" s="27"/>
      <c r="H33" s="29"/>
    </row>
    <row r="34" ht="15.75" customHeight="1">
      <c r="A34" s="32">
        <v>7.0</v>
      </c>
      <c r="B34" s="25"/>
      <c r="C34" s="29"/>
      <c r="D34" s="25"/>
      <c r="E34" s="29"/>
      <c r="F34" s="25"/>
      <c r="G34" s="27"/>
      <c r="H34" s="29"/>
    </row>
    <row r="35" ht="15.75" customHeight="1"/>
    <row r="36" ht="15.75" customHeight="1">
      <c r="A36" s="116" t="s">
        <v>207</v>
      </c>
    </row>
    <row r="37" ht="15.75" customHeight="1">
      <c r="A37" s="16"/>
      <c r="B37" s="16"/>
      <c r="C37" s="16"/>
      <c r="D37" s="16"/>
      <c r="E37" s="16"/>
      <c r="F37" s="16"/>
      <c r="G37" s="16"/>
      <c r="H37" s="16"/>
    </row>
    <row r="38">
      <c r="A38" s="97" t="s">
        <v>208</v>
      </c>
      <c r="B38" s="97" t="s">
        <v>70</v>
      </c>
      <c r="C38" s="117" t="s">
        <v>209</v>
      </c>
      <c r="D38" s="118" t="s">
        <v>210</v>
      </c>
      <c r="E38" s="27"/>
      <c r="F38" s="27"/>
      <c r="G38" s="27"/>
      <c r="H38" s="29"/>
      <c r="I38" s="119" t="s">
        <v>129</v>
      </c>
    </row>
    <row r="39" ht="15.75" customHeight="1">
      <c r="A39" s="32" t="s">
        <v>211</v>
      </c>
      <c r="B39" s="32" t="s">
        <v>212</v>
      </c>
      <c r="C39" s="32">
        <v>30.0</v>
      </c>
      <c r="D39" s="60">
        <v>30.0</v>
      </c>
      <c r="E39" s="27"/>
      <c r="F39" s="27"/>
      <c r="G39" s="27"/>
      <c r="H39" s="29"/>
      <c r="I39" s="32" t="str">
        <f t="shared" ref="I39:I42" si="1">IF(D39&lt;=C39,"Correcto", "Corregir")</f>
        <v>Correcto</v>
      </c>
    </row>
    <row r="40" ht="15.75" customHeight="1">
      <c r="A40" s="32" t="s">
        <v>213</v>
      </c>
      <c r="B40" s="32" t="s">
        <v>212</v>
      </c>
      <c r="C40" s="32">
        <v>6.0</v>
      </c>
      <c r="D40" s="25"/>
      <c r="E40" s="27"/>
      <c r="F40" s="27"/>
      <c r="G40" s="27"/>
      <c r="H40" s="29"/>
      <c r="I40" s="32" t="str">
        <f t="shared" si="1"/>
        <v>Correcto</v>
      </c>
    </row>
    <row r="41" ht="15.75" customHeight="1">
      <c r="A41" s="32" t="s">
        <v>214</v>
      </c>
      <c r="B41" s="32" t="s">
        <v>215</v>
      </c>
      <c r="C41" s="32">
        <v>10.0</v>
      </c>
      <c r="D41" s="25"/>
      <c r="E41" s="27"/>
      <c r="F41" s="27"/>
      <c r="G41" s="27"/>
      <c r="H41" s="29"/>
      <c r="I41" s="32" t="str">
        <f t="shared" si="1"/>
        <v>Correcto</v>
      </c>
    </row>
    <row r="42" ht="15.75" customHeight="1">
      <c r="A42" s="32" t="s">
        <v>216</v>
      </c>
      <c r="B42" s="32" t="s">
        <v>212</v>
      </c>
      <c r="C42" s="32">
        <v>30.0</v>
      </c>
      <c r="D42" s="60">
        <v>20.0</v>
      </c>
      <c r="E42" s="27"/>
      <c r="F42" s="27"/>
      <c r="G42" s="27"/>
      <c r="H42" s="29"/>
      <c r="I42" s="32" t="str">
        <f t="shared" si="1"/>
        <v>Correcto</v>
      </c>
    </row>
    <row r="43" ht="15.75" customHeight="1"/>
    <row r="44" ht="15.75" customHeight="1">
      <c r="A44" s="111" t="s">
        <v>217</v>
      </c>
      <c r="G44" s="79" t="s">
        <v>39</v>
      </c>
      <c r="H44" s="112">
        <v>35.0</v>
      </c>
    </row>
    <row r="45" ht="15.75" customHeight="1">
      <c r="G45" s="84" t="s">
        <v>218</v>
      </c>
    </row>
    <row r="46" ht="15.75" customHeight="1">
      <c r="A46" s="84" t="s">
        <v>219</v>
      </c>
    </row>
    <row r="47">
      <c r="A47" s="57" t="s">
        <v>220</v>
      </c>
      <c r="B47" s="60" t="s">
        <v>119</v>
      </c>
      <c r="C47" s="27"/>
      <c r="D47" s="27"/>
      <c r="E47" s="27"/>
      <c r="F47" s="27"/>
      <c r="G47" s="27"/>
      <c r="H47" s="29"/>
    </row>
    <row r="48" ht="15.75" customHeight="1">
      <c r="A48" s="57" t="s">
        <v>11</v>
      </c>
      <c r="B48" s="60" t="s">
        <v>221</v>
      </c>
      <c r="C48" s="27"/>
      <c r="D48" s="27"/>
      <c r="E48" s="27"/>
      <c r="F48" s="27"/>
      <c r="G48" s="27"/>
      <c r="H48" s="29"/>
    </row>
    <row r="49" ht="15.75" customHeight="1">
      <c r="A49" s="57" t="s">
        <v>189</v>
      </c>
      <c r="B49" s="128">
        <v>0.0</v>
      </c>
      <c r="C49" s="27"/>
      <c r="D49" s="27"/>
      <c r="E49" s="27"/>
      <c r="F49" s="27"/>
      <c r="G49" s="27"/>
      <c r="H49" s="29"/>
    </row>
    <row r="50" ht="15.75" customHeight="1">
      <c r="A50" s="57" t="s">
        <v>39</v>
      </c>
      <c r="B50" s="25"/>
      <c r="C50" s="27"/>
      <c r="D50" s="27"/>
      <c r="E50" s="27"/>
      <c r="F50" s="27"/>
      <c r="G50" s="27"/>
      <c r="H50" s="29"/>
    </row>
    <row r="51" ht="15.75" customHeight="1">
      <c r="A51" s="121" t="s">
        <v>222</v>
      </c>
      <c r="B51" s="16"/>
      <c r="C51" s="16"/>
      <c r="D51" s="16"/>
      <c r="E51" s="16"/>
      <c r="F51" s="16"/>
      <c r="G51" s="16"/>
      <c r="H51" s="16"/>
    </row>
    <row r="52" ht="15.75" customHeight="1">
      <c r="A52" s="113" t="s">
        <v>223</v>
      </c>
      <c r="B52" s="27"/>
      <c r="C52" s="27"/>
      <c r="D52" s="27"/>
      <c r="E52" s="27"/>
      <c r="F52" s="27"/>
      <c r="G52" s="27"/>
      <c r="H52" s="29"/>
    </row>
    <row r="53" ht="15.75" customHeight="1">
      <c r="A53" s="134" t="s">
        <v>263</v>
      </c>
      <c r="B53" s="102"/>
      <c r="C53" s="102"/>
      <c r="D53" s="102"/>
      <c r="E53" s="102"/>
      <c r="F53" s="102"/>
      <c r="G53" s="102"/>
      <c r="H53" s="103"/>
    </row>
    <row r="54" ht="15.75" customHeight="1">
      <c r="A54" s="122"/>
      <c r="H54" s="123"/>
    </row>
    <row r="55" ht="15.75" customHeight="1">
      <c r="A55" s="104"/>
      <c r="B55" s="105"/>
      <c r="C55" s="105"/>
      <c r="D55" s="105"/>
      <c r="E55" s="105"/>
      <c r="F55" s="105"/>
      <c r="G55" s="105"/>
      <c r="H55" s="106"/>
    </row>
    <row r="56" ht="15.75" customHeight="1"/>
    <row r="57" ht="15.75" customHeight="1">
      <c r="A57" s="84" t="s">
        <v>228</v>
      </c>
    </row>
    <row r="58">
      <c r="A58" s="57" t="s">
        <v>220</v>
      </c>
      <c r="B58" s="25"/>
      <c r="C58" s="27"/>
      <c r="D58" s="27"/>
      <c r="E58" s="27"/>
      <c r="F58" s="27"/>
      <c r="G58" s="27"/>
      <c r="H58" s="29"/>
    </row>
    <row r="59" ht="15.75" customHeight="1">
      <c r="A59" s="57" t="s">
        <v>11</v>
      </c>
      <c r="B59" s="25"/>
      <c r="C59" s="27"/>
      <c r="D59" s="27"/>
      <c r="E59" s="27"/>
      <c r="F59" s="27"/>
      <c r="G59" s="27"/>
      <c r="H59" s="29"/>
    </row>
    <row r="60" ht="15.75" customHeight="1">
      <c r="A60" s="57" t="s">
        <v>189</v>
      </c>
      <c r="B60" s="128"/>
      <c r="C60" s="27"/>
      <c r="D60" s="27"/>
      <c r="E60" s="27"/>
      <c r="F60" s="27"/>
      <c r="G60" s="27"/>
      <c r="H60" s="29"/>
    </row>
    <row r="61" ht="15.75" customHeight="1">
      <c r="A61" s="57" t="s">
        <v>39</v>
      </c>
      <c r="B61" s="128"/>
      <c r="C61" s="27"/>
      <c r="D61" s="27"/>
      <c r="E61" s="27"/>
      <c r="F61" s="27"/>
      <c r="G61" s="27"/>
      <c r="H61" s="29"/>
    </row>
    <row r="62" ht="15.75" customHeight="1">
      <c r="A62" s="129" t="s">
        <v>232</v>
      </c>
      <c r="B62" s="16"/>
      <c r="C62" s="16"/>
      <c r="D62" s="16"/>
      <c r="E62" s="16"/>
      <c r="F62" s="16"/>
      <c r="G62" s="16"/>
      <c r="H62" s="16"/>
    </row>
    <row r="63" ht="15.75" customHeight="1">
      <c r="A63" s="113" t="s">
        <v>223</v>
      </c>
      <c r="B63" s="27"/>
      <c r="C63" s="27"/>
      <c r="D63" s="27"/>
      <c r="E63" s="27"/>
      <c r="F63" s="27"/>
      <c r="G63" s="27"/>
      <c r="H63" s="29"/>
    </row>
    <row r="64" ht="15.75" customHeight="1">
      <c r="A64" s="130"/>
      <c r="B64" s="102"/>
      <c r="C64" s="102"/>
      <c r="D64" s="102"/>
      <c r="E64" s="102"/>
      <c r="F64" s="102"/>
      <c r="G64" s="102"/>
      <c r="H64" s="103"/>
    </row>
    <row r="65" ht="15.75" customHeight="1">
      <c r="A65" s="122"/>
      <c r="H65" s="123"/>
    </row>
    <row r="66" ht="15.75" customHeight="1">
      <c r="A66" s="104"/>
      <c r="B66" s="105"/>
      <c r="C66" s="105"/>
      <c r="D66" s="105"/>
      <c r="E66" s="105"/>
      <c r="F66" s="105"/>
      <c r="G66" s="105"/>
      <c r="H66" s="106"/>
    </row>
    <row r="67" ht="15.75" customHeight="1"/>
    <row r="68" ht="15.75" customHeight="1">
      <c r="A68" s="111" t="s">
        <v>234</v>
      </c>
      <c r="G68" s="79" t="s">
        <v>39</v>
      </c>
      <c r="H68" s="112">
        <v>10.0</v>
      </c>
    </row>
    <row r="69" ht="15.75" customHeight="1">
      <c r="G69" s="84" t="s">
        <v>235</v>
      </c>
    </row>
    <row r="70" ht="15.75" customHeight="1">
      <c r="A70" s="57" t="s">
        <v>39</v>
      </c>
      <c r="B70" s="128"/>
      <c r="C70" s="27"/>
      <c r="D70" s="27"/>
      <c r="E70" s="27"/>
      <c r="F70" s="27"/>
      <c r="G70" s="27"/>
      <c r="H70" s="29"/>
    </row>
    <row r="71" ht="15.75" customHeight="1">
      <c r="A71" s="118" t="s">
        <v>236</v>
      </c>
      <c r="B71" s="27"/>
      <c r="C71" s="27"/>
      <c r="D71" s="27"/>
      <c r="E71" s="27"/>
      <c r="F71" s="27"/>
      <c r="G71" s="27"/>
      <c r="H71" s="29"/>
    </row>
    <row r="72" ht="15.75" customHeight="1">
      <c r="A72" s="101" t="s">
        <v>265</v>
      </c>
      <c r="B72" s="102"/>
      <c r="C72" s="102"/>
      <c r="D72" s="102"/>
      <c r="E72" s="102"/>
      <c r="F72" s="102"/>
      <c r="G72" s="102"/>
      <c r="H72" s="103"/>
    </row>
    <row r="73" ht="15.75" customHeight="1">
      <c r="A73" s="104"/>
      <c r="B73" s="105"/>
      <c r="C73" s="105"/>
      <c r="D73" s="105"/>
      <c r="E73" s="105"/>
      <c r="F73" s="105"/>
      <c r="G73" s="105"/>
      <c r="H73" s="106"/>
    </row>
    <row r="74" ht="15.75" customHeight="1">
      <c r="A74" s="84" t="s">
        <v>237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7" t="s">
        <v>188</v>
      </c>
    </row>
    <row r="3" ht="15.75" customHeight="1"/>
    <row r="4" ht="15.75" customHeight="1">
      <c r="B4" s="12" t="s">
        <v>1</v>
      </c>
      <c r="C4" s="107" t="str">
        <f>'Diseño'!C4</f>
        <v>781 - Organización de Lenguajes y Compiladores 2</v>
      </c>
      <c r="D4" s="27"/>
      <c r="E4" s="27"/>
      <c r="F4" s="27"/>
      <c r="G4" s="29"/>
    </row>
    <row r="5" ht="15.75" customHeight="1">
      <c r="B5" s="32" t="s">
        <v>22</v>
      </c>
      <c r="C5" s="25">
        <v>10.0</v>
      </c>
      <c r="D5" s="27"/>
      <c r="E5" s="27"/>
      <c r="F5" s="27"/>
      <c r="G5" s="29"/>
    </row>
    <row r="6" ht="15.75" customHeight="1">
      <c r="B6" s="108" t="s">
        <v>28</v>
      </c>
      <c r="C6" s="25">
        <f>H10+H21+H44+H68</f>
        <v>110</v>
      </c>
      <c r="D6" s="27"/>
      <c r="E6" s="27"/>
      <c r="F6" s="27"/>
      <c r="G6" s="29"/>
      <c r="I6" s="16"/>
    </row>
    <row r="7" ht="15.75" customHeight="1">
      <c r="B7" s="108" t="s">
        <v>189</v>
      </c>
      <c r="C7" s="25">
        <f>B49+B60</f>
        <v>0</v>
      </c>
      <c r="D7" s="27"/>
      <c r="E7" s="27"/>
      <c r="F7" s="27"/>
      <c r="G7" s="29"/>
    </row>
    <row r="8" ht="15.75" customHeight="1">
      <c r="B8" s="108" t="s">
        <v>190</v>
      </c>
      <c r="C8" s="110" t="str">
        <f>IF(H44&lt;=0, "❌ ERROR: La Actividad 1 debe tener un tiempo mayor a 0.", IF(H21&gt;60, "❌ ERROR: El 'Área de Conocimiento' no puede exceder los 60 min.", IF((H10+H21+H44)&lt;100, "❌ ERROR: El tiempo total debe ser de al menos 100 min.", "✅ VALIDACIÓN CORRECTA")))</f>
        <v>✅ VALIDACIÓN CORRECTA</v>
      </c>
      <c r="D8" s="27"/>
      <c r="E8" s="27"/>
      <c r="F8" s="27"/>
      <c r="G8" s="29"/>
      <c r="I8" s="16"/>
      <c r="J8" s="16"/>
      <c r="K8" s="16"/>
    </row>
    <row r="9" ht="15.75" customHeight="1"/>
    <row r="10" ht="15.75" customHeight="1">
      <c r="A10" s="111" t="s">
        <v>191</v>
      </c>
      <c r="G10" s="79" t="s">
        <v>39</v>
      </c>
      <c r="H10" s="112">
        <v>5.0</v>
      </c>
    </row>
    <row r="11" ht="15.75" customHeight="1">
      <c r="G11" s="84" t="s">
        <v>202</v>
      </c>
    </row>
    <row r="12" ht="15.75" customHeight="1">
      <c r="A12" s="57" t="s">
        <v>193</v>
      </c>
      <c r="B12" s="53" t="s">
        <v>257</v>
      </c>
      <c r="C12" s="27"/>
      <c r="D12" s="27"/>
      <c r="E12" s="27"/>
      <c r="F12" s="27"/>
      <c r="G12" s="27"/>
      <c r="H12" s="29"/>
    </row>
    <row r="13" ht="15.75" customHeight="1">
      <c r="A13" s="65" t="s">
        <v>39</v>
      </c>
      <c r="B13" s="25"/>
      <c r="C13" s="27"/>
      <c r="D13" s="27"/>
      <c r="E13" s="27"/>
      <c r="F13" s="27"/>
      <c r="G13" s="27"/>
      <c r="H13" s="29"/>
    </row>
    <row r="14" ht="15.75" customHeight="1">
      <c r="A14" s="113" t="s">
        <v>195</v>
      </c>
      <c r="B14" s="27"/>
      <c r="C14" s="27"/>
      <c r="D14" s="27"/>
      <c r="E14" s="27"/>
      <c r="F14" s="27"/>
      <c r="G14" s="27"/>
      <c r="H14" s="29"/>
    </row>
    <row r="15" ht="15.75" customHeight="1">
      <c r="A15" s="101" t="s">
        <v>262</v>
      </c>
      <c r="B15" s="102"/>
      <c r="C15" s="102"/>
      <c r="D15" s="102"/>
      <c r="E15" s="102"/>
      <c r="F15" s="102"/>
      <c r="G15" s="102"/>
      <c r="H15" s="103"/>
    </row>
    <row r="16" ht="15.75" customHeight="1">
      <c r="A16" s="104"/>
      <c r="B16" s="105"/>
      <c r="C16" s="105"/>
      <c r="D16" s="105"/>
      <c r="E16" s="105"/>
      <c r="F16" s="105"/>
      <c r="G16" s="105"/>
      <c r="H16" s="106"/>
    </row>
    <row r="17" ht="15.75" customHeight="1">
      <c r="A17" s="113" t="s">
        <v>197</v>
      </c>
      <c r="B17" s="27"/>
      <c r="C17" s="27"/>
      <c r="D17" s="27"/>
      <c r="E17" s="27"/>
      <c r="F17" s="27"/>
      <c r="G17" s="27"/>
      <c r="H17" s="29"/>
    </row>
    <row r="18" ht="15.75" customHeight="1">
      <c r="A18" s="130"/>
      <c r="B18" s="102"/>
      <c r="C18" s="102"/>
      <c r="D18" s="102"/>
      <c r="E18" s="102"/>
      <c r="F18" s="102"/>
      <c r="G18" s="102"/>
      <c r="H18" s="103"/>
    </row>
    <row r="19" ht="15.75" customHeight="1">
      <c r="A19" s="104"/>
      <c r="B19" s="105"/>
      <c r="C19" s="105"/>
      <c r="D19" s="105"/>
      <c r="E19" s="105"/>
      <c r="F19" s="105"/>
      <c r="G19" s="105"/>
      <c r="H19" s="106"/>
    </row>
    <row r="20" ht="15.75" customHeight="1"/>
    <row r="21" ht="15.75" customHeight="1">
      <c r="A21" s="111" t="s">
        <v>199</v>
      </c>
      <c r="G21" s="79" t="s">
        <v>39</v>
      </c>
      <c r="H21" s="112">
        <v>60.0</v>
      </c>
      <c r="I21" s="16"/>
    </row>
    <row r="22" ht="15.75" customHeight="1">
      <c r="G22" s="84" t="s">
        <v>200</v>
      </c>
    </row>
    <row r="23" ht="15.75" customHeight="1">
      <c r="A23" s="57" t="s">
        <v>201</v>
      </c>
      <c r="B23" s="60" t="s">
        <v>119</v>
      </c>
      <c r="C23" s="27"/>
      <c r="D23" s="27"/>
      <c r="E23" s="27"/>
      <c r="F23" s="27"/>
      <c r="G23" s="27"/>
      <c r="H23" s="29"/>
    </row>
    <row r="24" ht="15.75" customHeight="1">
      <c r="A24" s="57" t="s">
        <v>201</v>
      </c>
      <c r="B24" s="25"/>
      <c r="C24" s="27"/>
      <c r="D24" s="27"/>
      <c r="E24" s="27"/>
      <c r="F24" s="27"/>
      <c r="G24" s="27"/>
      <c r="H24" s="29"/>
    </row>
    <row r="25" ht="15.75" customHeight="1"/>
    <row r="26" ht="15.75" customHeight="1">
      <c r="A26" s="116" t="s">
        <v>205</v>
      </c>
      <c r="B26" s="16"/>
      <c r="C26" s="16"/>
      <c r="D26" s="16"/>
    </row>
    <row r="27" ht="15.75" customHeight="1">
      <c r="A27" s="97" t="s">
        <v>16</v>
      </c>
      <c r="B27" s="98" t="s">
        <v>164</v>
      </c>
      <c r="C27" s="29"/>
      <c r="D27" s="98" t="s">
        <v>168</v>
      </c>
      <c r="E27" s="29"/>
      <c r="F27" s="98" t="s">
        <v>169</v>
      </c>
      <c r="G27" s="27"/>
      <c r="H27" s="29"/>
    </row>
    <row r="28" ht="15.75" customHeight="1">
      <c r="A28" s="32">
        <v>1.0</v>
      </c>
      <c r="B28" s="25">
        <f>IFERROR(__xludf.DUMMYFUNCTION("FILTER('Diseño'!D:D,'Diseño'!H:H=$C$5)"),3.0)</f>
        <v>3</v>
      </c>
      <c r="C28" s="29"/>
      <c r="D28" s="25" t="str">
        <f>IFERROR(__xludf.DUMMYFUNCTION("FILTER('Diseño'!E:E,'Diseño'!H:H=$C$5)"),"Entornos y memoria en un compilador")</f>
        <v>Entornos y memoria en un compilador</v>
      </c>
      <c r="E28" s="29"/>
      <c r="F28" s="25" t="str">
        <f>IFERROR(__xludf.DUMMYFUNCTION("FILTER('Diseño'!F:F,'Diseño'!H:H=$C$5)"),"Memoria heap en tiempo de ejecución")</f>
        <v>Memoria heap en tiempo de ejecución</v>
      </c>
      <c r="G28" s="27"/>
      <c r="H28" s="29"/>
    </row>
    <row r="29" ht="15.75" customHeight="1">
      <c r="A29" s="32">
        <v>2.0</v>
      </c>
      <c r="B29" s="25">
        <f>IFERROR(__xludf.DUMMYFUNCTION("""COMPUTED_VALUE"""),3.0)</f>
        <v>3</v>
      </c>
      <c r="C29" s="29"/>
      <c r="D29" s="25" t="str">
        <f>IFERROR(__xludf.DUMMYFUNCTION("""COMPUTED_VALUE"""),"Representaciones intermedias y generación de código")</f>
        <v>Representaciones intermedias y generación de código</v>
      </c>
      <c r="E29" s="29"/>
      <c r="F29" s="25" t="str">
        <f>IFERROR(__xludf.DUMMYFUNCTION("""COMPUTED_VALUE"""),"Arreglos y String, métodos de guardado")</f>
        <v>Arreglos y String, métodos de guardado</v>
      </c>
      <c r="G29" s="27"/>
      <c r="H29" s="29"/>
    </row>
    <row r="30" ht="15.75" customHeight="1">
      <c r="A30" s="32">
        <v>3.0</v>
      </c>
      <c r="B30" s="25">
        <f>IFERROR(__xludf.DUMMYFUNCTION("""COMPUTED_VALUE"""),3.0)</f>
        <v>3</v>
      </c>
      <c r="C30" s="29"/>
      <c r="D30" s="25" t="str">
        <f>IFERROR(__xludf.DUMMYFUNCTION("""COMPUTED_VALUE"""),"Representaciones intermedias y generación de código")</f>
        <v>Representaciones intermedias y generación de código</v>
      </c>
      <c r="E30" s="29"/>
      <c r="F30" s="25" t="str">
        <f>IFERROR(__xludf.DUMMYFUNCTION("""COMPUTED_VALUE"""),"Utilización de la pila para guardar punteros")</f>
        <v>Utilización de la pila para guardar punteros</v>
      </c>
      <c r="G30" s="27"/>
      <c r="H30" s="29"/>
    </row>
    <row r="31" ht="15.75" customHeight="1">
      <c r="A31" s="32">
        <v>4.0</v>
      </c>
      <c r="B31" s="25"/>
      <c r="C31" s="29"/>
      <c r="D31" s="25"/>
      <c r="E31" s="29"/>
      <c r="F31" s="25"/>
      <c r="G31" s="27"/>
      <c r="H31" s="29"/>
    </row>
    <row r="32" ht="15.75" customHeight="1">
      <c r="A32" s="32">
        <v>5.0</v>
      </c>
      <c r="B32" s="25"/>
      <c r="C32" s="29"/>
      <c r="D32" s="25"/>
      <c r="E32" s="29"/>
      <c r="F32" s="25"/>
      <c r="G32" s="27"/>
      <c r="H32" s="29"/>
    </row>
    <row r="33" ht="15.75" customHeight="1">
      <c r="A33" s="32">
        <v>6.0</v>
      </c>
      <c r="B33" s="25"/>
      <c r="C33" s="29"/>
      <c r="D33" s="25"/>
      <c r="E33" s="29"/>
      <c r="F33" s="25"/>
      <c r="G33" s="27"/>
      <c r="H33" s="29"/>
    </row>
    <row r="34" ht="15.75" customHeight="1">
      <c r="A34" s="32">
        <v>7.0</v>
      </c>
      <c r="B34" s="25"/>
      <c r="C34" s="29"/>
      <c r="D34" s="25"/>
      <c r="E34" s="29"/>
      <c r="F34" s="25"/>
      <c r="G34" s="27"/>
      <c r="H34" s="29"/>
    </row>
    <row r="35" ht="15.75" customHeight="1"/>
    <row r="36" ht="15.75" customHeight="1">
      <c r="A36" s="116" t="s">
        <v>207</v>
      </c>
    </row>
    <row r="37" ht="15.75" customHeight="1">
      <c r="A37" s="16"/>
      <c r="B37" s="16"/>
      <c r="C37" s="16"/>
      <c r="D37" s="16"/>
      <c r="E37" s="16"/>
      <c r="F37" s="16"/>
      <c r="G37" s="16"/>
      <c r="H37" s="16"/>
    </row>
    <row r="38">
      <c r="A38" s="97" t="s">
        <v>208</v>
      </c>
      <c r="B38" s="97" t="s">
        <v>70</v>
      </c>
      <c r="C38" s="117" t="s">
        <v>209</v>
      </c>
      <c r="D38" s="118" t="s">
        <v>210</v>
      </c>
      <c r="E38" s="27"/>
      <c r="F38" s="27"/>
      <c r="G38" s="27"/>
      <c r="H38" s="29"/>
      <c r="I38" s="119" t="s">
        <v>129</v>
      </c>
    </row>
    <row r="39" ht="15.75" customHeight="1">
      <c r="A39" s="32" t="s">
        <v>211</v>
      </c>
      <c r="B39" s="32" t="s">
        <v>212</v>
      </c>
      <c r="C39" s="32">
        <v>30.0</v>
      </c>
      <c r="D39" s="60">
        <v>30.0</v>
      </c>
      <c r="E39" s="27"/>
      <c r="F39" s="27"/>
      <c r="G39" s="27"/>
      <c r="H39" s="29"/>
      <c r="I39" s="32" t="str">
        <f t="shared" ref="I39:I42" si="1">IF(D39&lt;=C39,"Correcto", "Corregir")</f>
        <v>Correcto</v>
      </c>
    </row>
    <row r="40" ht="15.75" customHeight="1">
      <c r="A40" s="32" t="s">
        <v>213</v>
      </c>
      <c r="B40" s="32" t="s">
        <v>212</v>
      </c>
      <c r="C40" s="32">
        <v>6.0</v>
      </c>
      <c r="D40" s="25"/>
      <c r="E40" s="27"/>
      <c r="F40" s="27"/>
      <c r="G40" s="27"/>
      <c r="H40" s="29"/>
      <c r="I40" s="32" t="str">
        <f t="shared" si="1"/>
        <v>Correcto</v>
      </c>
    </row>
    <row r="41" ht="15.75" customHeight="1">
      <c r="A41" s="32" t="s">
        <v>214</v>
      </c>
      <c r="B41" s="32" t="s">
        <v>215</v>
      </c>
      <c r="C41" s="32">
        <v>10.0</v>
      </c>
      <c r="D41" s="25"/>
      <c r="E41" s="27"/>
      <c r="F41" s="27"/>
      <c r="G41" s="27"/>
      <c r="H41" s="29"/>
      <c r="I41" s="32" t="str">
        <f t="shared" si="1"/>
        <v>Correcto</v>
      </c>
    </row>
    <row r="42" ht="15.75" customHeight="1">
      <c r="A42" s="32" t="s">
        <v>216</v>
      </c>
      <c r="B42" s="32" t="s">
        <v>212</v>
      </c>
      <c r="C42" s="32">
        <v>30.0</v>
      </c>
      <c r="D42" s="60">
        <v>30.0</v>
      </c>
      <c r="E42" s="27"/>
      <c r="F42" s="27"/>
      <c r="G42" s="27"/>
      <c r="H42" s="29"/>
      <c r="I42" s="32" t="str">
        <f t="shared" si="1"/>
        <v>Correcto</v>
      </c>
    </row>
    <row r="43" ht="15.75" customHeight="1"/>
    <row r="44" ht="15.75" customHeight="1">
      <c r="A44" s="111" t="s">
        <v>217</v>
      </c>
      <c r="G44" s="79" t="s">
        <v>39</v>
      </c>
      <c r="H44" s="112">
        <v>35.0</v>
      </c>
    </row>
    <row r="45" ht="15.75" customHeight="1">
      <c r="G45" s="84" t="s">
        <v>218</v>
      </c>
    </row>
    <row r="46" ht="15.75" customHeight="1">
      <c r="A46" s="84" t="s">
        <v>219</v>
      </c>
    </row>
    <row r="47">
      <c r="A47" s="57" t="s">
        <v>220</v>
      </c>
      <c r="B47" s="60" t="s">
        <v>119</v>
      </c>
      <c r="C47" s="27"/>
      <c r="D47" s="27"/>
      <c r="E47" s="27"/>
      <c r="F47" s="27"/>
      <c r="G47" s="27"/>
      <c r="H47" s="29"/>
    </row>
    <row r="48" ht="15.75" customHeight="1">
      <c r="A48" s="57" t="s">
        <v>11</v>
      </c>
      <c r="B48" s="60" t="s">
        <v>221</v>
      </c>
      <c r="C48" s="27"/>
      <c r="D48" s="27"/>
      <c r="E48" s="27"/>
      <c r="F48" s="27"/>
      <c r="G48" s="27"/>
      <c r="H48" s="29"/>
    </row>
    <row r="49" ht="15.75" customHeight="1">
      <c r="A49" s="57" t="s">
        <v>189</v>
      </c>
      <c r="B49" s="128">
        <v>0.0</v>
      </c>
      <c r="C49" s="27"/>
      <c r="D49" s="27"/>
      <c r="E49" s="27"/>
      <c r="F49" s="27"/>
      <c r="G49" s="27"/>
      <c r="H49" s="29"/>
    </row>
    <row r="50" ht="15.75" customHeight="1">
      <c r="A50" s="57" t="s">
        <v>39</v>
      </c>
      <c r="B50" s="25"/>
      <c r="C50" s="27"/>
      <c r="D50" s="27"/>
      <c r="E50" s="27"/>
      <c r="F50" s="27"/>
      <c r="G50" s="27"/>
      <c r="H50" s="29"/>
    </row>
    <row r="51" ht="15.75" customHeight="1">
      <c r="A51" s="121" t="s">
        <v>222</v>
      </c>
      <c r="B51" s="16"/>
      <c r="C51" s="16"/>
      <c r="D51" s="16"/>
      <c r="E51" s="16"/>
      <c r="F51" s="16"/>
      <c r="G51" s="16"/>
      <c r="H51" s="16"/>
    </row>
    <row r="52" ht="15.75" customHeight="1">
      <c r="A52" s="113" t="s">
        <v>223</v>
      </c>
      <c r="B52" s="27"/>
      <c r="C52" s="27"/>
      <c r="D52" s="27"/>
      <c r="E52" s="27"/>
      <c r="F52" s="27"/>
      <c r="G52" s="27"/>
      <c r="H52" s="29"/>
    </row>
    <row r="53" ht="15.75" customHeight="1">
      <c r="A53" s="134" t="s">
        <v>263</v>
      </c>
      <c r="B53" s="102"/>
      <c r="C53" s="102"/>
      <c r="D53" s="102"/>
      <c r="E53" s="102"/>
      <c r="F53" s="102"/>
      <c r="G53" s="102"/>
      <c r="H53" s="103"/>
    </row>
    <row r="54" ht="15.75" customHeight="1">
      <c r="A54" s="122"/>
      <c r="H54" s="123"/>
    </row>
    <row r="55" ht="15.75" customHeight="1">
      <c r="A55" s="104"/>
      <c r="B55" s="105"/>
      <c r="C55" s="105"/>
      <c r="D55" s="105"/>
      <c r="E55" s="105"/>
      <c r="F55" s="105"/>
      <c r="G55" s="105"/>
      <c r="H55" s="106"/>
    </row>
    <row r="56" ht="15.75" customHeight="1"/>
    <row r="57" ht="15.75" customHeight="1">
      <c r="A57" s="84" t="s">
        <v>228</v>
      </c>
    </row>
    <row r="58">
      <c r="A58" s="57" t="s">
        <v>220</v>
      </c>
      <c r="B58" s="25"/>
      <c r="C58" s="27"/>
      <c r="D58" s="27"/>
      <c r="E58" s="27"/>
      <c r="F58" s="27"/>
      <c r="G58" s="27"/>
      <c r="H58" s="29"/>
    </row>
    <row r="59" ht="15.75" customHeight="1">
      <c r="A59" s="57" t="s">
        <v>11</v>
      </c>
      <c r="B59" s="25"/>
      <c r="C59" s="27"/>
      <c r="D59" s="27"/>
      <c r="E59" s="27"/>
      <c r="F59" s="27"/>
      <c r="G59" s="27"/>
      <c r="H59" s="29"/>
    </row>
    <row r="60" ht="15.75" customHeight="1">
      <c r="A60" s="57" t="s">
        <v>189</v>
      </c>
      <c r="B60" s="128"/>
      <c r="C60" s="27"/>
      <c r="D60" s="27"/>
      <c r="E60" s="27"/>
      <c r="F60" s="27"/>
      <c r="G60" s="27"/>
      <c r="H60" s="29"/>
    </row>
    <row r="61" ht="15.75" customHeight="1">
      <c r="A61" s="57" t="s">
        <v>39</v>
      </c>
      <c r="B61" s="128"/>
      <c r="C61" s="27"/>
      <c r="D61" s="27"/>
      <c r="E61" s="27"/>
      <c r="F61" s="27"/>
      <c r="G61" s="27"/>
      <c r="H61" s="29"/>
    </row>
    <row r="62" ht="15.75" customHeight="1">
      <c r="A62" s="129" t="s">
        <v>232</v>
      </c>
      <c r="B62" s="16"/>
      <c r="C62" s="16"/>
      <c r="D62" s="16"/>
      <c r="E62" s="16"/>
      <c r="F62" s="16"/>
      <c r="G62" s="16"/>
      <c r="H62" s="16"/>
    </row>
    <row r="63" ht="15.75" customHeight="1">
      <c r="A63" s="113" t="s">
        <v>223</v>
      </c>
      <c r="B63" s="27"/>
      <c r="C63" s="27"/>
      <c r="D63" s="27"/>
      <c r="E63" s="27"/>
      <c r="F63" s="27"/>
      <c r="G63" s="27"/>
      <c r="H63" s="29"/>
    </row>
    <row r="64" ht="15.75" customHeight="1">
      <c r="A64" s="130"/>
      <c r="B64" s="102"/>
      <c r="C64" s="102"/>
      <c r="D64" s="102"/>
      <c r="E64" s="102"/>
      <c r="F64" s="102"/>
      <c r="G64" s="102"/>
      <c r="H64" s="103"/>
    </row>
    <row r="65" ht="15.75" customHeight="1">
      <c r="A65" s="122"/>
      <c r="H65" s="123"/>
    </row>
    <row r="66" ht="15.75" customHeight="1">
      <c r="A66" s="104"/>
      <c r="B66" s="105"/>
      <c r="C66" s="105"/>
      <c r="D66" s="105"/>
      <c r="E66" s="105"/>
      <c r="F66" s="105"/>
      <c r="G66" s="105"/>
      <c r="H66" s="106"/>
    </row>
    <row r="67" ht="15.75" customHeight="1"/>
    <row r="68" ht="15.75" customHeight="1">
      <c r="A68" s="111" t="s">
        <v>234</v>
      </c>
      <c r="G68" s="79" t="s">
        <v>39</v>
      </c>
      <c r="H68" s="112">
        <v>10.0</v>
      </c>
    </row>
    <row r="69" ht="15.75" customHeight="1">
      <c r="G69" s="84" t="s">
        <v>235</v>
      </c>
    </row>
    <row r="70" ht="15.75" customHeight="1">
      <c r="A70" s="57" t="s">
        <v>39</v>
      </c>
      <c r="B70" s="128"/>
      <c r="C70" s="27"/>
      <c r="D70" s="27"/>
      <c r="E70" s="27"/>
      <c r="F70" s="27"/>
      <c r="G70" s="27"/>
      <c r="H70" s="29"/>
    </row>
    <row r="71" ht="15.75" customHeight="1">
      <c r="A71" s="118" t="s">
        <v>236</v>
      </c>
      <c r="B71" s="27"/>
      <c r="C71" s="27"/>
      <c r="D71" s="27"/>
      <c r="E71" s="27"/>
      <c r="F71" s="27"/>
      <c r="G71" s="27"/>
      <c r="H71" s="29"/>
    </row>
    <row r="72" ht="15.75" customHeight="1">
      <c r="A72" s="101" t="s">
        <v>265</v>
      </c>
      <c r="B72" s="102"/>
      <c r="C72" s="102"/>
      <c r="D72" s="102"/>
      <c r="E72" s="102"/>
      <c r="F72" s="102"/>
      <c r="G72" s="102"/>
      <c r="H72" s="103"/>
    </row>
    <row r="73" ht="15.75" customHeight="1">
      <c r="A73" s="104"/>
      <c r="B73" s="105"/>
      <c r="C73" s="105"/>
      <c r="D73" s="105"/>
      <c r="E73" s="105"/>
      <c r="F73" s="105"/>
      <c r="G73" s="105"/>
      <c r="H73" s="106"/>
    </row>
    <row r="74" ht="15.75" customHeight="1">
      <c r="A74" s="84" t="s">
        <v>237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7" t="s">
        <v>188</v>
      </c>
    </row>
    <row r="3" ht="15.75" customHeight="1"/>
    <row r="4" ht="15.75" customHeight="1">
      <c r="B4" s="12" t="s">
        <v>1</v>
      </c>
      <c r="C4" s="107" t="str">
        <f>'Diseño'!C4</f>
        <v>781 - Organización de Lenguajes y Compiladores 2</v>
      </c>
      <c r="D4" s="27"/>
      <c r="E4" s="27"/>
      <c r="F4" s="27"/>
      <c r="G4" s="29"/>
    </row>
    <row r="5" ht="15.75" customHeight="1">
      <c r="B5" s="32" t="s">
        <v>22</v>
      </c>
      <c r="C5" s="25">
        <v>11.0</v>
      </c>
      <c r="D5" s="27"/>
      <c r="E5" s="27"/>
      <c r="F5" s="27"/>
      <c r="G5" s="29"/>
    </row>
    <row r="6" ht="15.75" customHeight="1">
      <c r="B6" s="108" t="s">
        <v>28</v>
      </c>
      <c r="C6" s="25">
        <f>H10+H21+H44+H68</f>
        <v>110</v>
      </c>
      <c r="D6" s="27"/>
      <c r="E6" s="27"/>
      <c r="F6" s="27"/>
      <c r="G6" s="29"/>
      <c r="I6" s="16"/>
    </row>
    <row r="7" ht="15.75" customHeight="1">
      <c r="B7" s="108" t="s">
        <v>189</v>
      </c>
      <c r="C7" s="25">
        <f>B49+B60</f>
        <v>0</v>
      </c>
      <c r="D7" s="27"/>
      <c r="E7" s="27"/>
      <c r="F7" s="27"/>
      <c r="G7" s="29"/>
    </row>
    <row r="8" ht="15.75" customHeight="1">
      <c r="B8" s="108" t="s">
        <v>190</v>
      </c>
      <c r="C8" s="110" t="str">
        <f>IF(H44&lt;=0, "❌ ERROR: La Actividad 1 debe tener un tiempo mayor a 0.", IF(H21&gt;60, "❌ ERROR: El 'Área de Conocimiento' no puede exceder los 60 min.", IF((H10+H21+H44)&lt;100, "❌ ERROR: El tiempo total debe ser de al menos 100 min.", "✅ VALIDACIÓN CORRECTA")))</f>
        <v>✅ VALIDACIÓN CORRECTA</v>
      </c>
      <c r="D8" s="27"/>
      <c r="E8" s="27"/>
      <c r="F8" s="27"/>
      <c r="G8" s="29"/>
      <c r="I8" s="16"/>
      <c r="J8" s="16"/>
      <c r="K8" s="16"/>
    </row>
    <row r="9" ht="15.75" customHeight="1"/>
    <row r="10" ht="15.75" customHeight="1">
      <c r="A10" s="111" t="s">
        <v>191</v>
      </c>
      <c r="G10" s="79" t="s">
        <v>39</v>
      </c>
      <c r="H10" s="112">
        <v>5.0</v>
      </c>
    </row>
    <row r="11" ht="15.75" customHeight="1">
      <c r="G11" s="84" t="s">
        <v>202</v>
      </c>
    </row>
    <row r="12" ht="15.75" customHeight="1">
      <c r="A12" s="57" t="s">
        <v>193</v>
      </c>
      <c r="B12" s="53" t="s">
        <v>266</v>
      </c>
      <c r="C12" s="27"/>
      <c r="D12" s="27"/>
      <c r="E12" s="27"/>
      <c r="F12" s="27"/>
      <c r="G12" s="27"/>
      <c r="H12" s="29"/>
    </row>
    <row r="13" ht="15.75" customHeight="1">
      <c r="A13" s="65" t="s">
        <v>39</v>
      </c>
      <c r="B13" s="25"/>
      <c r="C13" s="27"/>
      <c r="D13" s="27"/>
      <c r="E13" s="27"/>
      <c r="F13" s="27"/>
      <c r="G13" s="27"/>
      <c r="H13" s="29"/>
    </row>
    <row r="14" ht="15.75" customHeight="1">
      <c r="A14" s="113" t="s">
        <v>195</v>
      </c>
      <c r="B14" s="27"/>
      <c r="C14" s="27"/>
      <c r="D14" s="27"/>
      <c r="E14" s="27"/>
      <c r="F14" s="27"/>
      <c r="G14" s="27"/>
      <c r="H14" s="29"/>
    </row>
    <row r="15" ht="15.75" customHeight="1">
      <c r="A15" s="101" t="s">
        <v>267</v>
      </c>
      <c r="B15" s="102"/>
      <c r="C15" s="102"/>
      <c r="D15" s="102"/>
      <c r="E15" s="102"/>
      <c r="F15" s="102"/>
      <c r="G15" s="102"/>
      <c r="H15" s="103"/>
    </row>
    <row r="16" ht="15.75" customHeight="1">
      <c r="A16" s="104"/>
      <c r="B16" s="105"/>
      <c r="C16" s="105"/>
      <c r="D16" s="105"/>
      <c r="E16" s="105"/>
      <c r="F16" s="105"/>
      <c r="G16" s="105"/>
      <c r="H16" s="106"/>
    </row>
    <row r="17" ht="15.75" customHeight="1">
      <c r="A17" s="113" t="s">
        <v>197</v>
      </c>
      <c r="B17" s="27"/>
      <c r="C17" s="27"/>
      <c r="D17" s="27"/>
      <c r="E17" s="27"/>
      <c r="F17" s="27"/>
      <c r="G17" s="27"/>
      <c r="H17" s="29"/>
    </row>
    <row r="18" ht="15.75" customHeight="1">
      <c r="A18" s="130"/>
      <c r="B18" s="102"/>
      <c r="C18" s="102"/>
      <c r="D18" s="102"/>
      <c r="E18" s="102"/>
      <c r="F18" s="102"/>
      <c r="G18" s="102"/>
      <c r="H18" s="103"/>
    </row>
    <row r="19" ht="15.75" customHeight="1">
      <c r="A19" s="104"/>
      <c r="B19" s="105"/>
      <c r="C19" s="105"/>
      <c r="D19" s="105"/>
      <c r="E19" s="105"/>
      <c r="F19" s="105"/>
      <c r="G19" s="105"/>
      <c r="H19" s="106"/>
    </row>
    <row r="20" ht="15.75" customHeight="1"/>
    <row r="21" ht="15.75" customHeight="1">
      <c r="A21" s="111" t="s">
        <v>199</v>
      </c>
      <c r="G21" s="79" t="s">
        <v>39</v>
      </c>
      <c r="H21" s="112">
        <v>60.0</v>
      </c>
      <c r="I21" s="16"/>
    </row>
    <row r="22" ht="15.75" customHeight="1">
      <c r="G22" s="84" t="s">
        <v>200</v>
      </c>
    </row>
    <row r="23" ht="15.75" customHeight="1">
      <c r="A23" s="57" t="s">
        <v>201</v>
      </c>
      <c r="B23" s="60" t="s">
        <v>119</v>
      </c>
      <c r="C23" s="27"/>
      <c r="D23" s="27"/>
      <c r="E23" s="27"/>
      <c r="F23" s="27"/>
      <c r="G23" s="27"/>
      <c r="H23" s="29"/>
    </row>
    <row r="24" ht="15.75" customHeight="1">
      <c r="A24" s="57" t="s">
        <v>201</v>
      </c>
      <c r="B24" s="25"/>
      <c r="C24" s="27"/>
      <c r="D24" s="27"/>
      <c r="E24" s="27"/>
      <c r="F24" s="27"/>
      <c r="G24" s="27"/>
      <c r="H24" s="29"/>
    </row>
    <row r="25" ht="15.75" customHeight="1"/>
    <row r="26" ht="15.75" customHeight="1">
      <c r="A26" s="116" t="s">
        <v>205</v>
      </c>
      <c r="B26" s="16"/>
      <c r="C26" s="16"/>
      <c r="D26" s="16"/>
    </row>
    <row r="27" ht="15.75" customHeight="1">
      <c r="A27" s="97" t="s">
        <v>16</v>
      </c>
      <c r="B27" s="98" t="s">
        <v>164</v>
      </c>
      <c r="C27" s="29"/>
      <c r="D27" s="98" t="s">
        <v>168</v>
      </c>
      <c r="E27" s="29"/>
      <c r="F27" s="98" t="s">
        <v>169</v>
      </c>
      <c r="G27" s="27"/>
      <c r="H27" s="29"/>
    </row>
    <row r="28" ht="31.5" customHeight="1">
      <c r="A28" s="32">
        <v>1.0</v>
      </c>
      <c r="B28" s="25">
        <f>IFERROR(__xludf.DUMMYFUNCTION("FILTER('Diseño'!D:D,'Diseño'!H:H=$C$5)"),3.0)</f>
        <v>3</v>
      </c>
      <c r="C28" s="29"/>
      <c r="D28" s="137" t="str">
        <f>IFERROR(__xludf.DUMMYFUNCTION("FILTER('Diseño'!E:E,'Diseño'!H:H=$C$5)"),"Entornos y memoria en un compilador")</f>
        <v>Entornos y memoria en un compilador</v>
      </c>
      <c r="E28" s="29"/>
      <c r="F28" s="137" t="str">
        <f>IFERROR(__xludf.DUMMYFUNCTION("FILTER('Diseño'!F:F,'Diseño'!H:H=$C$5)"),"Utilización del puntero link para funciones recursivas")</f>
        <v>Utilización del puntero link para funciones recursivas</v>
      </c>
      <c r="G28" s="27"/>
      <c r="H28" s="29"/>
    </row>
    <row r="29" ht="27.0" customHeight="1">
      <c r="A29" s="32">
        <v>2.0</v>
      </c>
      <c r="B29" s="25">
        <f>IFERROR(__xludf.DUMMYFUNCTION("""COMPUTED_VALUE"""),3.0)</f>
        <v>3</v>
      </c>
      <c r="C29" s="29"/>
      <c r="D29" s="137" t="str">
        <f>IFERROR(__xludf.DUMMYFUNCTION("""COMPUTED_VALUE"""),"Optimización de la generación de código")</f>
        <v>Optimización de la generación de código</v>
      </c>
      <c r="E29" s="29"/>
      <c r="F29" s="137" t="str">
        <f>IFERROR(__xludf.DUMMYFUNCTION("""COMPUTED_VALUE"""),"Métodos de optimización")</f>
        <v>Métodos de optimización</v>
      </c>
      <c r="G29" s="27"/>
      <c r="H29" s="29"/>
    </row>
    <row r="30" ht="30.0" customHeight="1">
      <c r="A30" s="32">
        <v>3.0</v>
      </c>
      <c r="B30" s="25">
        <f>IFERROR(__xludf.DUMMYFUNCTION("""COMPUTED_VALUE"""),3.0)</f>
        <v>3</v>
      </c>
      <c r="C30" s="29"/>
      <c r="D30" s="137" t="str">
        <f>IFERROR(__xludf.DUMMYFUNCTION("""COMPUTED_VALUE"""),"Optimización de la generación de código")</f>
        <v>Optimización de la generación de código</v>
      </c>
      <c r="E30" s="29"/>
      <c r="F30" s="137" t="str">
        <f>IFERROR(__xludf.DUMMYFUNCTION("""COMPUTED_VALUE"""),"Fases para optimizar en la creación del compilador")</f>
        <v>Fases para optimizar en la creación del compilador</v>
      </c>
      <c r="G30" s="27"/>
      <c r="H30" s="29"/>
    </row>
    <row r="31" ht="15.75" customHeight="1">
      <c r="A31" s="32">
        <v>4.0</v>
      </c>
      <c r="B31" s="25"/>
      <c r="C31" s="29"/>
      <c r="D31" s="25"/>
      <c r="E31" s="29"/>
      <c r="F31" s="25"/>
      <c r="G31" s="27"/>
      <c r="H31" s="29"/>
    </row>
    <row r="32" ht="15.75" customHeight="1">
      <c r="A32" s="32">
        <v>5.0</v>
      </c>
      <c r="B32" s="25"/>
      <c r="C32" s="29"/>
      <c r="D32" s="25"/>
      <c r="E32" s="29"/>
      <c r="F32" s="25"/>
      <c r="G32" s="27"/>
      <c r="H32" s="29"/>
    </row>
    <row r="33" ht="15.75" customHeight="1">
      <c r="A33" s="32">
        <v>6.0</v>
      </c>
      <c r="B33" s="25"/>
      <c r="C33" s="29"/>
      <c r="D33" s="25"/>
      <c r="E33" s="29"/>
      <c r="F33" s="25"/>
      <c r="G33" s="27"/>
      <c r="H33" s="29"/>
    </row>
    <row r="34" ht="15.75" customHeight="1">
      <c r="A34" s="32">
        <v>7.0</v>
      </c>
      <c r="B34" s="25"/>
      <c r="C34" s="29"/>
      <c r="D34" s="25"/>
      <c r="E34" s="29"/>
      <c r="F34" s="25"/>
      <c r="G34" s="27"/>
      <c r="H34" s="29"/>
    </row>
    <row r="35" ht="15.75" customHeight="1"/>
    <row r="36" ht="15.75" customHeight="1">
      <c r="A36" s="116" t="s">
        <v>207</v>
      </c>
    </row>
    <row r="37" ht="15.75" customHeight="1">
      <c r="A37" s="16"/>
      <c r="B37" s="16"/>
      <c r="C37" s="16"/>
      <c r="D37" s="16"/>
      <c r="E37" s="16"/>
      <c r="F37" s="16"/>
      <c r="G37" s="16"/>
      <c r="H37" s="16"/>
    </row>
    <row r="38">
      <c r="A38" s="97" t="s">
        <v>208</v>
      </c>
      <c r="B38" s="97" t="s">
        <v>70</v>
      </c>
      <c r="C38" s="117" t="s">
        <v>209</v>
      </c>
      <c r="D38" s="118" t="s">
        <v>210</v>
      </c>
      <c r="E38" s="27"/>
      <c r="F38" s="27"/>
      <c r="G38" s="27"/>
      <c r="H38" s="29"/>
      <c r="I38" s="119" t="s">
        <v>129</v>
      </c>
    </row>
    <row r="39" ht="15.75" customHeight="1">
      <c r="A39" s="32" t="s">
        <v>211</v>
      </c>
      <c r="B39" s="32" t="s">
        <v>212</v>
      </c>
      <c r="C39" s="32">
        <v>30.0</v>
      </c>
      <c r="D39" s="60">
        <v>30.0</v>
      </c>
      <c r="E39" s="27"/>
      <c r="F39" s="27"/>
      <c r="G39" s="27"/>
      <c r="H39" s="29"/>
      <c r="I39" s="32" t="str">
        <f t="shared" ref="I39:I42" si="1">IF(D39&lt;=C39,"Correcto", "Corregir")</f>
        <v>Correcto</v>
      </c>
    </row>
    <row r="40" ht="15.75" customHeight="1">
      <c r="A40" s="32" t="s">
        <v>213</v>
      </c>
      <c r="B40" s="32" t="s">
        <v>212</v>
      </c>
      <c r="C40" s="32">
        <v>6.0</v>
      </c>
      <c r="D40" s="25"/>
      <c r="E40" s="27"/>
      <c r="F40" s="27"/>
      <c r="G40" s="27"/>
      <c r="H40" s="29"/>
      <c r="I40" s="32" t="str">
        <f t="shared" si="1"/>
        <v>Correcto</v>
      </c>
    </row>
    <row r="41" ht="15.75" customHeight="1">
      <c r="A41" s="32" t="s">
        <v>214</v>
      </c>
      <c r="B41" s="32" t="s">
        <v>215</v>
      </c>
      <c r="C41" s="32">
        <v>10.0</v>
      </c>
      <c r="D41" s="25"/>
      <c r="E41" s="27"/>
      <c r="F41" s="27"/>
      <c r="G41" s="27"/>
      <c r="H41" s="29"/>
      <c r="I41" s="32" t="str">
        <f t="shared" si="1"/>
        <v>Correcto</v>
      </c>
    </row>
    <row r="42" ht="15.75" customHeight="1">
      <c r="A42" s="32" t="s">
        <v>216</v>
      </c>
      <c r="B42" s="32" t="s">
        <v>212</v>
      </c>
      <c r="C42" s="32">
        <v>30.0</v>
      </c>
      <c r="D42" s="60">
        <v>30.0</v>
      </c>
      <c r="E42" s="27"/>
      <c r="F42" s="27"/>
      <c r="G42" s="27"/>
      <c r="H42" s="29"/>
      <c r="I42" s="32" t="str">
        <f t="shared" si="1"/>
        <v>Correcto</v>
      </c>
    </row>
    <row r="43" ht="15.75" customHeight="1"/>
    <row r="44" ht="15.75" customHeight="1">
      <c r="A44" s="111" t="s">
        <v>217</v>
      </c>
      <c r="G44" s="79" t="s">
        <v>39</v>
      </c>
      <c r="H44" s="112">
        <v>35.0</v>
      </c>
    </row>
    <row r="45" ht="15.75" customHeight="1">
      <c r="G45" s="84" t="s">
        <v>218</v>
      </c>
    </row>
    <row r="46" ht="15.75" customHeight="1">
      <c r="A46" s="84" t="s">
        <v>219</v>
      </c>
    </row>
    <row r="47">
      <c r="A47" s="57" t="s">
        <v>220</v>
      </c>
      <c r="B47" s="60" t="s">
        <v>119</v>
      </c>
      <c r="C47" s="27"/>
      <c r="D47" s="27"/>
      <c r="E47" s="27"/>
      <c r="F47" s="27"/>
      <c r="G47" s="27"/>
      <c r="H47" s="29"/>
    </row>
    <row r="48" ht="15.75" customHeight="1">
      <c r="A48" s="57" t="s">
        <v>11</v>
      </c>
      <c r="B48" s="60" t="s">
        <v>221</v>
      </c>
      <c r="C48" s="27"/>
      <c r="D48" s="27"/>
      <c r="E48" s="27"/>
      <c r="F48" s="27"/>
      <c r="G48" s="27"/>
      <c r="H48" s="29"/>
    </row>
    <row r="49" ht="15.75" customHeight="1">
      <c r="A49" s="57" t="s">
        <v>189</v>
      </c>
      <c r="B49" s="128">
        <v>0.0</v>
      </c>
      <c r="C49" s="27"/>
      <c r="D49" s="27"/>
      <c r="E49" s="27"/>
      <c r="F49" s="27"/>
      <c r="G49" s="27"/>
      <c r="H49" s="29"/>
    </row>
    <row r="50" ht="15.75" customHeight="1">
      <c r="A50" s="57" t="s">
        <v>39</v>
      </c>
      <c r="B50" s="25"/>
      <c r="C50" s="27"/>
      <c r="D50" s="27"/>
      <c r="E50" s="27"/>
      <c r="F50" s="27"/>
      <c r="G50" s="27"/>
      <c r="H50" s="29"/>
    </row>
    <row r="51" ht="15.75" customHeight="1">
      <c r="A51" s="121" t="s">
        <v>222</v>
      </c>
      <c r="B51" s="16"/>
      <c r="C51" s="16"/>
      <c r="D51" s="16"/>
      <c r="E51" s="16"/>
      <c r="F51" s="16"/>
      <c r="G51" s="16"/>
      <c r="H51" s="16"/>
    </row>
    <row r="52" ht="15.75" customHeight="1">
      <c r="A52" s="113" t="s">
        <v>223</v>
      </c>
      <c r="B52" s="27"/>
      <c r="C52" s="27"/>
      <c r="D52" s="27"/>
      <c r="E52" s="27"/>
      <c r="F52" s="27"/>
      <c r="G52" s="27"/>
      <c r="H52" s="29"/>
    </row>
    <row r="53" ht="15.75" customHeight="1">
      <c r="A53" s="134" t="s">
        <v>263</v>
      </c>
      <c r="B53" s="102"/>
      <c r="C53" s="102"/>
      <c r="D53" s="102"/>
      <c r="E53" s="102"/>
      <c r="F53" s="102"/>
      <c r="G53" s="102"/>
      <c r="H53" s="103"/>
    </row>
    <row r="54" ht="15.75" customHeight="1">
      <c r="A54" s="122"/>
      <c r="H54" s="123"/>
    </row>
    <row r="55" ht="15.75" customHeight="1">
      <c r="A55" s="104"/>
      <c r="B55" s="105"/>
      <c r="C55" s="105"/>
      <c r="D55" s="105"/>
      <c r="E55" s="105"/>
      <c r="F55" s="105"/>
      <c r="G55" s="105"/>
      <c r="H55" s="106"/>
    </row>
    <row r="56" ht="15.75" customHeight="1"/>
    <row r="57" ht="15.75" customHeight="1">
      <c r="A57" s="84" t="s">
        <v>228</v>
      </c>
    </row>
    <row r="58">
      <c r="A58" s="57" t="s">
        <v>220</v>
      </c>
      <c r="B58" s="25"/>
      <c r="C58" s="27"/>
      <c r="D58" s="27"/>
      <c r="E58" s="27"/>
      <c r="F58" s="27"/>
      <c r="G58" s="27"/>
      <c r="H58" s="29"/>
    </row>
    <row r="59" ht="15.75" customHeight="1">
      <c r="A59" s="57" t="s">
        <v>11</v>
      </c>
      <c r="B59" s="25"/>
      <c r="C59" s="27"/>
      <c r="D59" s="27"/>
      <c r="E59" s="27"/>
      <c r="F59" s="27"/>
      <c r="G59" s="27"/>
      <c r="H59" s="29"/>
    </row>
    <row r="60" ht="15.75" customHeight="1">
      <c r="A60" s="57" t="s">
        <v>189</v>
      </c>
      <c r="B60" s="128"/>
      <c r="C60" s="27"/>
      <c r="D60" s="27"/>
      <c r="E60" s="27"/>
      <c r="F60" s="27"/>
      <c r="G60" s="27"/>
      <c r="H60" s="29"/>
    </row>
    <row r="61" ht="15.75" customHeight="1">
      <c r="A61" s="57" t="s">
        <v>39</v>
      </c>
      <c r="B61" s="128"/>
      <c r="C61" s="27"/>
      <c r="D61" s="27"/>
      <c r="E61" s="27"/>
      <c r="F61" s="27"/>
      <c r="G61" s="27"/>
      <c r="H61" s="29"/>
    </row>
    <row r="62" ht="15.75" customHeight="1">
      <c r="A62" s="129" t="s">
        <v>232</v>
      </c>
      <c r="B62" s="16"/>
      <c r="C62" s="16"/>
      <c r="D62" s="16"/>
      <c r="E62" s="16"/>
      <c r="F62" s="16"/>
      <c r="G62" s="16"/>
      <c r="H62" s="16"/>
    </row>
    <row r="63" ht="15.75" customHeight="1">
      <c r="A63" s="113" t="s">
        <v>223</v>
      </c>
      <c r="B63" s="27"/>
      <c r="C63" s="27"/>
      <c r="D63" s="27"/>
      <c r="E63" s="27"/>
      <c r="F63" s="27"/>
      <c r="G63" s="27"/>
      <c r="H63" s="29"/>
    </row>
    <row r="64" ht="15.75" customHeight="1">
      <c r="A64" s="130"/>
      <c r="B64" s="102"/>
      <c r="C64" s="102"/>
      <c r="D64" s="102"/>
      <c r="E64" s="102"/>
      <c r="F64" s="102"/>
      <c r="G64" s="102"/>
      <c r="H64" s="103"/>
    </row>
    <row r="65" ht="15.75" customHeight="1">
      <c r="A65" s="122"/>
      <c r="H65" s="123"/>
    </row>
    <row r="66" ht="15.75" customHeight="1">
      <c r="A66" s="104"/>
      <c r="B66" s="105"/>
      <c r="C66" s="105"/>
      <c r="D66" s="105"/>
      <c r="E66" s="105"/>
      <c r="F66" s="105"/>
      <c r="G66" s="105"/>
      <c r="H66" s="106"/>
    </row>
    <row r="67" ht="15.75" customHeight="1"/>
    <row r="68" ht="15.75" customHeight="1">
      <c r="A68" s="111" t="s">
        <v>234</v>
      </c>
      <c r="G68" s="79" t="s">
        <v>39</v>
      </c>
      <c r="H68" s="112">
        <v>10.0</v>
      </c>
    </row>
    <row r="69" ht="15.75" customHeight="1">
      <c r="G69" s="84" t="s">
        <v>235</v>
      </c>
    </row>
    <row r="70" ht="15.75" customHeight="1">
      <c r="A70" s="57" t="s">
        <v>39</v>
      </c>
      <c r="B70" s="128"/>
      <c r="C70" s="27"/>
      <c r="D70" s="27"/>
      <c r="E70" s="27"/>
      <c r="F70" s="27"/>
      <c r="G70" s="27"/>
      <c r="H70" s="29"/>
    </row>
    <row r="71" ht="15.75" customHeight="1">
      <c r="A71" s="118" t="s">
        <v>236</v>
      </c>
      <c r="B71" s="27"/>
      <c r="C71" s="27"/>
      <c r="D71" s="27"/>
      <c r="E71" s="27"/>
      <c r="F71" s="27"/>
      <c r="G71" s="27"/>
      <c r="H71" s="29"/>
    </row>
    <row r="72" ht="15.75" customHeight="1">
      <c r="A72" s="101" t="s">
        <v>265</v>
      </c>
      <c r="B72" s="102"/>
      <c r="C72" s="102"/>
      <c r="D72" s="102"/>
      <c r="E72" s="102"/>
      <c r="F72" s="102"/>
      <c r="G72" s="102"/>
      <c r="H72" s="103"/>
    </row>
    <row r="73" ht="15.75" customHeight="1">
      <c r="A73" s="104"/>
      <c r="B73" s="105"/>
      <c r="C73" s="105"/>
      <c r="D73" s="105"/>
      <c r="E73" s="105"/>
      <c r="F73" s="105"/>
      <c r="G73" s="105"/>
      <c r="H73" s="106"/>
    </row>
    <row r="74" ht="15.75" customHeight="1">
      <c r="A74" s="84" t="s">
        <v>237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7" t="s">
        <v>188</v>
      </c>
    </row>
    <row r="3" ht="15.75" customHeight="1"/>
    <row r="4" ht="15.75" customHeight="1">
      <c r="B4" s="12" t="s">
        <v>1</v>
      </c>
      <c r="C4" s="107" t="str">
        <f>'Diseño'!C4</f>
        <v>781 - Organización de Lenguajes y Compiladores 2</v>
      </c>
      <c r="D4" s="27"/>
      <c r="E4" s="27"/>
      <c r="F4" s="27"/>
      <c r="G4" s="29"/>
    </row>
    <row r="5" ht="15.75" customHeight="1">
      <c r="B5" s="32" t="s">
        <v>22</v>
      </c>
      <c r="C5" s="60">
        <v>12.0</v>
      </c>
      <c r="D5" s="27"/>
      <c r="E5" s="27"/>
      <c r="F5" s="27"/>
      <c r="G5" s="29"/>
    </row>
    <row r="6" ht="15.75" customHeight="1">
      <c r="B6" s="108" t="s">
        <v>28</v>
      </c>
      <c r="C6" s="25">
        <f>H10+H21+H44+H68</f>
        <v>110</v>
      </c>
      <c r="D6" s="27"/>
      <c r="E6" s="27"/>
      <c r="F6" s="27"/>
      <c r="G6" s="29"/>
      <c r="I6" s="16"/>
    </row>
    <row r="7" ht="15.75" customHeight="1">
      <c r="B7" s="108" t="s">
        <v>189</v>
      </c>
      <c r="C7" s="25">
        <f>B49+B60</f>
        <v>0</v>
      </c>
      <c r="D7" s="27"/>
      <c r="E7" s="27"/>
      <c r="F7" s="27"/>
      <c r="G7" s="29"/>
    </row>
    <row r="8" ht="15.75" customHeight="1">
      <c r="B8" s="108" t="s">
        <v>190</v>
      </c>
      <c r="C8" s="110" t="str">
        <f>IF(H44&lt;=0, "❌ ERROR: La Actividad 1 debe tener un tiempo mayor a 0.", IF(H21&gt;60, "❌ ERROR: El 'Área de Conocimiento' no puede exceder los 60 min.", IF((H10+H21+H44)&lt;100, "❌ ERROR: El tiempo total debe ser de al menos 100 min.", "✅ VALIDACIÓN CORRECTA")))</f>
        <v>✅ VALIDACIÓN CORRECTA</v>
      </c>
      <c r="D8" s="27"/>
      <c r="E8" s="27"/>
      <c r="F8" s="27"/>
      <c r="G8" s="29"/>
      <c r="I8" s="16"/>
      <c r="J8" s="16"/>
      <c r="K8" s="16"/>
    </row>
    <row r="9" ht="15.75" customHeight="1"/>
    <row r="10" ht="15.75" customHeight="1">
      <c r="A10" s="111" t="s">
        <v>191</v>
      </c>
      <c r="G10" s="79" t="s">
        <v>39</v>
      </c>
      <c r="H10" s="112">
        <v>5.0</v>
      </c>
    </row>
    <row r="11" ht="15.75" customHeight="1">
      <c r="G11" s="84" t="s">
        <v>202</v>
      </c>
    </row>
    <row r="12" ht="15.75" customHeight="1">
      <c r="A12" s="57" t="s">
        <v>193</v>
      </c>
      <c r="B12" s="53" t="s">
        <v>247</v>
      </c>
      <c r="C12" s="27"/>
      <c r="D12" s="27"/>
      <c r="E12" s="27"/>
      <c r="F12" s="27"/>
      <c r="G12" s="27"/>
      <c r="H12" s="29"/>
    </row>
    <row r="13" ht="15.75" customHeight="1">
      <c r="A13" s="65" t="s">
        <v>39</v>
      </c>
      <c r="B13" s="25"/>
      <c r="C13" s="27"/>
      <c r="D13" s="27"/>
      <c r="E13" s="27"/>
      <c r="F13" s="27"/>
      <c r="G13" s="27"/>
      <c r="H13" s="29"/>
    </row>
    <row r="14" ht="15.75" customHeight="1">
      <c r="A14" s="113" t="s">
        <v>195</v>
      </c>
      <c r="B14" s="27"/>
      <c r="C14" s="27"/>
      <c r="D14" s="27"/>
      <c r="E14" s="27"/>
      <c r="F14" s="27"/>
      <c r="G14" s="27"/>
      <c r="H14" s="29"/>
    </row>
    <row r="15" ht="15.75" customHeight="1">
      <c r="A15" s="101" t="s">
        <v>271</v>
      </c>
      <c r="B15" s="102"/>
      <c r="C15" s="102"/>
      <c r="D15" s="102"/>
      <c r="E15" s="102"/>
      <c r="F15" s="102"/>
      <c r="G15" s="102"/>
      <c r="H15" s="103"/>
    </row>
    <row r="16" ht="15.75" customHeight="1">
      <c r="A16" s="104"/>
      <c r="B16" s="105"/>
      <c r="C16" s="105"/>
      <c r="D16" s="105"/>
      <c r="E16" s="105"/>
      <c r="F16" s="105"/>
      <c r="G16" s="105"/>
      <c r="H16" s="106"/>
    </row>
    <row r="17" ht="15.75" customHeight="1">
      <c r="A17" s="113" t="s">
        <v>197</v>
      </c>
      <c r="B17" s="27"/>
      <c r="C17" s="27"/>
      <c r="D17" s="27"/>
      <c r="E17" s="27"/>
      <c r="F17" s="27"/>
      <c r="G17" s="27"/>
      <c r="H17" s="29"/>
    </row>
    <row r="18" ht="15.75" customHeight="1">
      <c r="A18" s="130"/>
      <c r="B18" s="102"/>
      <c r="C18" s="102"/>
      <c r="D18" s="102"/>
      <c r="E18" s="102"/>
      <c r="F18" s="102"/>
      <c r="G18" s="102"/>
      <c r="H18" s="103"/>
    </row>
    <row r="19" ht="15.75" customHeight="1">
      <c r="A19" s="104"/>
      <c r="B19" s="105"/>
      <c r="C19" s="105"/>
      <c r="D19" s="105"/>
      <c r="E19" s="105"/>
      <c r="F19" s="105"/>
      <c r="G19" s="105"/>
      <c r="H19" s="106"/>
    </row>
    <row r="20" ht="15.75" customHeight="1"/>
    <row r="21" ht="15.75" customHeight="1">
      <c r="A21" s="111" t="s">
        <v>199</v>
      </c>
      <c r="G21" s="79" t="s">
        <v>39</v>
      </c>
      <c r="H21" s="112">
        <v>60.0</v>
      </c>
      <c r="I21" s="16"/>
    </row>
    <row r="22" ht="15.75" customHeight="1">
      <c r="G22" s="84" t="s">
        <v>200</v>
      </c>
    </row>
    <row r="23" ht="15.75" customHeight="1">
      <c r="A23" s="57" t="s">
        <v>201</v>
      </c>
      <c r="B23" s="60" t="s">
        <v>119</v>
      </c>
      <c r="C23" s="27"/>
      <c r="D23" s="27"/>
      <c r="E23" s="27"/>
      <c r="F23" s="27"/>
      <c r="G23" s="27"/>
      <c r="H23" s="29"/>
    </row>
    <row r="24" ht="15.75" customHeight="1">
      <c r="A24" s="57" t="s">
        <v>201</v>
      </c>
      <c r="B24" s="25"/>
      <c r="C24" s="27"/>
      <c r="D24" s="27"/>
      <c r="E24" s="27"/>
      <c r="F24" s="27"/>
      <c r="G24" s="27"/>
      <c r="H24" s="29"/>
    </row>
    <row r="25" ht="15.75" customHeight="1"/>
    <row r="26" ht="15.75" customHeight="1">
      <c r="A26" s="116" t="s">
        <v>205</v>
      </c>
      <c r="B26" s="16"/>
      <c r="C26" s="16"/>
      <c r="D26" s="16"/>
    </row>
    <row r="27" ht="15.75" customHeight="1">
      <c r="A27" s="97" t="s">
        <v>16</v>
      </c>
      <c r="B27" s="98" t="s">
        <v>164</v>
      </c>
      <c r="C27" s="29"/>
      <c r="D27" s="98" t="s">
        <v>168</v>
      </c>
      <c r="E27" s="29"/>
      <c r="F27" s="98" t="s">
        <v>169</v>
      </c>
      <c r="G27" s="27"/>
      <c r="H27" s="29"/>
    </row>
    <row r="28" ht="15.75" customHeight="1">
      <c r="A28" s="32">
        <v>1.0</v>
      </c>
      <c r="B28" s="25">
        <f>IFERROR(__xludf.DUMMYFUNCTION("FILTER('Diseño'!D:D,'Diseño'!H:H=$C$5)"),3.0)</f>
        <v>3</v>
      </c>
      <c r="C28" s="29"/>
      <c r="D28" s="25" t="str">
        <f>IFERROR(__xludf.DUMMYFUNCTION("FILTER('Diseño'!E:E,'Diseño'!H:H=$C$5)"),"Optimización de la generación de código")</f>
        <v>Optimización de la generación de código</v>
      </c>
      <c r="E28" s="29"/>
      <c r="F28" s="25" t="str">
        <f>IFERROR(__xludf.DUMMYFUNCTION("FILTER('Diseño'!F:F,'Diseño'!H:H=$C$5)"),"Algoritmos para dividir en bloques las estructuras de C3D")</f>
        <v>Algoritmos para dividir en bloques las estructuras de C3D</v>
      </c>
      <c r="G28" s="27"/>
      <c r="H28" s="29"/>
    </row>
    <row r="29" ht="15.75" customHeight="1">
      <c r="A29" s="32">
        <v>2.0</v>
      </c>
      <c r="B29" s="25">
        <f>IFERROR(__xludf.DUMMYFUNCTION("""COMPUTED_VALUE"""),3.0)</f>
        <v>3</v>
      </c>
      <c r="C29" s="29"/>
      <c r="D29" s="25" t="str">
        <f>IFERROR(__xludf.DUMMYFUNCTION("""COMPUTED_VALUE"""),"Optimización de la generación de código")</f>
        <v>Optimización de la generación de código</v>
      </c>
      <c r="E29" s="29"/>
      <c r="F29" s="25" t="str">
        <f>IFERROR(__xludf.DUMMYFUNCTION("""COMPUTED_VALUE"""),"Algoritmos para optimizar los bloques de código C3d")</f>
        <v>Algoritmos para optimizar los bloques de código C3d</v>
      </c>
      <c r="G29" s="27"/>
      <c r="H29" s="29"/>
    </row>
    <row r="30" ht="15.75" customHeight="1">
      <c r="A30" s="32">
        <v>3.0</v>
      </c>
      <c r="B30" s="25">
        <f>IFERROR(__xludf.DUMMYFUNCTION("""COMPUTED_VALUE"""),3.0)</f>
        <v>3</v>
      </c>
      <c r="C30" s="29"/>
      <c r="D30" s="25" t="str">
        <f>IFERROR(__xludf.DUMMYFUNCTION("""COMPUTED_VALUE"""),"Optimización de la generación de código")</f>
        <v>Optimización de la generación de código</v>
      </c>
      <c r="E30" s="29"/>
      <c r="F30" s="25" t="str">
        <f>IFERROR(__xludf.DUMMYFUNCTION("""COMPUTED_VALUE"""),"Algotimo para obtener registros vacíos del descriptor de registros en la generación de código")</f>
        <v>Algotimo para obtener registros vacíos del descriptor de registros en la generación de código</v>
      </c>
      <c r="G30" s="27"/>
      <c r="H30" s="29"/>
    </row>
    <row r="31" ht="15.75" customHeight="1">
      <c r="A31" s="32">
        <v>4.0</v>
      </c>
      <c r="B31" s="25"/>
      <c r="C31" s="29"/>
      <c r="D31" s="25"/>
      <c r="E31" s="29"/>
      <c r="F31" s="25"/>
      <c r="G31" s="27"/>
      <c r="H31" s="29"/>
    </row>
    <row r="32" ht="15.75" customHeight="1">
      <c r="A32" s="32">
        <v>5.0</v>
      </c>
      <c r="B32" s="25"/>
      <c r="C32" s="29"/>
      <c r="D32" s="25"/>
      <c r="E32" s="29"/>
      <c r="F32" s="25"/>
      <c r="G32" s="27"/>
      <c r="H32" s="29"/>
    </row>
    <row r="33" ht="15.75" customHeight="1">
      <c r="A33" s="32">
        <v>6.0</v>
      </c>
      <c r="B33" s="25"/>
      <c r="C33" s="29"/>
      <c r="D33" s="25"/>
      <c r="E33" s="29"/>
      <c r="F33" s="25"/>
      <c r="G33" s="27"/>
      <c r="H33" s="29"/>
    </row>
    <row r="34" ht="15.75" customHeight="1">
      <c r="A34" s="32">
        <v>7.0</v>
      </c>
      <c r="B34" s="25"/>
      <c r="C34" s="29"/>
      <c r="D34" s="25"/>
      <c r="E34" s="29"/>
      <c r="F34" s="25"/>
      <c r="G34" s="27"/>
      <c r="H34" s="29"/>
    </row>
    <row r="35" ht="15.75" customHeight="1"/>
    <row r="36" ht="15.75" customHeight="1">
      <c r="A36" s="116" t="s">
        <v>207</v>
      </c>
    </row>
    <row r="37" ht="15.75" customHeight="1">
      <c r="A37" s="16"/>
      <c r="B37" s="16"/>
      <c r="C37" s="16"/>
      <c r="D37" s="16"/>
      <c r="E37" s="16"/>
      <c r="F37" s="16"/>
      <c r="G37" s="16"/>
      <c r="H37" s="16"/>
    </row>
    <row r="38">
      <c r="A38" s="97" t="s">
        <v>208</v>
      </c>
      <c r="B38" s="97" t="s">
        <v>70</v>
      </c>
      <c r="C38" s="117" t="s">
        <v>209</v>
      </c>
      <c r="D38" s="118" t="s">
        <v>210</v>
      </c>
      <c r="E38" s="27"/>
      <c r="F38" s="27"/>
      <c r="G38" s="27"/>
      <c r="H38" s="29"/>
      <c r="I38" s="119" t="s">
        <v>129</v>
      </c>
    </row>
    <row r="39" ht="15.75" customHeight="1">
      <c r="A39" s="32" t="s">
        <v>211</v>
      </c>
      <c r="B39" s="32" t="s">
        <v>212</v>
      </c>
      <c r="C39" s="32">
        <v>30.0</v>
      </c>
      <c r="D39" s="25"/>
      <c r="E39" s="27"/>
      <c r="F39" s="27"/>
      <c r="G39" s="27"/>
      <c r="H39" s="29"/>
      <c r="I39" s="32" t="str">
        <f t="shared" ref="I39:I42" si="1">IF(D39&lt;=C39,"Correcto", "Corregir")</f>
        <v>Correcto</v>
      </c>
    </row>
    <row r="40" ht="15.75" customHeight="1">
      <c r="A40" s="32" t="s">
        <v>213</v>
      </c>
      <c r="B40" s="32" t="s">
        <v>212</v>
      </c>
      <c r="C40" s="32">
        <v>6.0</v>
      </c>
      <c r="D40" s="25"/>
      <c r="E40" s="27"/>
      <c r="F40" s="27"/>
      <c r="G40" s="27"/>
      <c r="H40" s="29"/>
      <c r="I40" s="32" t="str">
        <f t="shared" si="1"/>
        <v>Correcto</v>
      </c>
    </row>
    <row r="41" ht="15.75" customHeight="1">
      <c r="A41" s="32" t="s">
        <v>214</v>
      </c>
      <c r="B41" s="32" t="s">
        <v>215</v>
      </c>
      <c r="C41" s="32">
        <v>10.0</v>
      </c>
      <c r="D41" s="25"/>
      <c r="E41" s="27"/>
      <c r="F41" s="27"/>
      <c r="G41" s="27"/>
      <c r="H41" s="29"/>
      <c r="I41" s="32" t="str">
        <f t="shared" si="1"/>
        <v>Correcto</v>
      </c>
    </row>
    <row r="42" ht="15.75" customHeight="1">
      <c r="A42" s="32" t="s">
        <v>216</v>
      </c>
      <c r="B42" s="32" t="s">
        <v>212</v>
      </c>
      <c r="C42" s="32">
        <v>30.0</v>
      </c>
      <c r="D42" s="25"/>
      <c r="E42" s="27"/>
      <c r="F42" s="27"/>
      <c r="G42" s="27"/>
      <c r="H42" s="29"/>
      <c r="I42" s="32" t="str">
        <f t="shared" si="1"/>
        <v>Correcto</v>
      </c>
    </row>
    <row r="43" ht="15.75" customHeight="1"/>
    <row r="44" ht="15.75" customHeight="1">
      <c r="A44" s="111" t="s">
        <v>217</v>
      </c>
      <c r="G44" s="79" t="s">
        <v>39</v>
      </c>
      <c r="H44" s="112">
        <v>35.0</v>
      </c>
    </row>
    <row r="45" ht="15.75" customHeight="1">
      <c r="G45" s="84" t="s">
        <v>218</v>
      </c>
    </row>
    <row r="46" ht="15.75" customHeight="1">
      <c r="A46" s="84" t="s">
        <v>219</v>
      </c>
    </row>
    <row r="47">
      <c r="A47" s="57" t="s">
        <v>220</v>
      </c>
      <c r="B47" s="60" t="s">
        <v>119</v>
      </c>
      <c r="C47" s="27"/>
      <c r="D47" s="27"/>
      <c r="E47" s="27"/>
      <c r="F47" s="27"/>
      <c r="G47" s="27"/>
      <c r="H47" s="29"/>
    </row>
    <row r="48" ht="15.75" customHeight="1">
      <c r="A48" s="57" t="s">
        <v>11</v>
      </c>
      <c r="B48" s="60" t="s">
        <v>221</v>
      </c>
      <c r="C48" s="27"/>
      <c r="D48" s="27"/>
      <c r="E48" s="27"/>
      <c r="F48" s="27"/>
      <c r="G48" s="27"/>
      <c r="H48" s="29"/>
    </row>
    <row r="49" ht="15.75" customHeight="1">
      <c r="A49" s="57" t="s">
        <v>189</v>
      </c>
      <c r="B49" s="128">
        <v>0.0</v>
      </c>
      <c r="C49" s="27"/>
      <c r="D49" s="27"/>
      <c r="E49" s="27"/>
      <c r="F49" s="27"/>
      <c r="G49" s="27"/>
      <c r="H49" s="29"/>
    </row>
    <row r="50" ht="15.75" customHeight="1">
      <c r="A50" s="57" t="s">
        <v>39</v>
      </c>
      <c r="B50" s="25"/>
      <c r="C50" s="27"/>
      <c r="D50" s="27"/>
      <c r="E50" s="27"/>
      <c r="F50" s="27"/>
      <c r="G50" s="27"/>
      <c r="H50" s="29"/>
    </row>
    <row r="51" ht="15.75" customHeight="1">
      <c r="A51" s="121" t="s">
        <v>222</v>
      </c>
      <c r="B51" s="16"/>
      <c r="C51" s="16"/>
      <c r="D51" s="16"/>
      <c r="E51" s="16"/>
      <c r="F51" s="16"/>
      <c r="G51" s="16"/>
      <c r="H51" s="16"/>
    </row>
    <row r="52" ht="15.75" customHeight="1">
      <c r="A52" s="113" t="s">
        <v>223</v>
      </c>
      <c r="B52" s="27"/>
      <c r="C52" s="27"/>
      <c r="D52" s="27"/>
      <c r="E52" s="27"/>
      <c r="F52" s="27"/>
      <c r="G52" s="27"/>
      <c r="H52" s="29"/>
    </row>
    <row r="53" ht="15.75" customHeight="1">
      <c r="A53" s="134" t="s">
        <v>263</v>
      </c>
      <c r="B53" s="102"/>
      <c r="C53" s="102"/>
      <c r="D53" s="102"/>
      <c r="E53" s="102"/>
      <c r="F53" s="102"/>
      <c r="G53" s="102"/>
      <c r="H53" s="103"/>
    </row>
    <row r="54" ht="15.75" customHeight="1">
      <c r="A54" s="122"/>
      <c r="H54" s="123"/>
    </row>
    <row r="55" ht="15.75" customHeight="1">
      <c r="A55" s="104"/>
      <c r="B55" s="105"/>
      <c r="C55" s="105"/>
      <c r="D55" s="105"/>
      <c r="E55" s="105"/>
      <c r="F55" s="105"/>
      <c r="G55" s="105"/>
      <c r="H55" s="106"/>
    </row>
    <row r="56" ht="15.75" customHeight="1"/>
    <row r="57" ht="15.75" customHeight="1">
      <c r="A57" s="84" t="s">
        <v>228</v>
      </c>
    </row>
    <row r="58">
      <c r="A58" s="57" t="s">
        <v>220</v>
      </c>
      <c r="B58" s="25"/>
      <c r="C58" s="27"/>
      <c r="D58" s="27"/>
      <c r="E58" s="27"/>
      <c r="F58" s="27"/>
      <c r="G58" s="27"/>
      <c r="H58" s="29"/>
    </row>
    <row r="59" ht="15.75" customHeight="1">
      <c r="A59" s="57" t="s">
        <v>11</v>
      </c>
      <c r="B59" s="25"/>
      <c r="C59" s="27"/>
      <c r="D59" s="27"/>
      <c r="E59" s="27"/>
      <c r="F59" s="27"/>
      <c r="G59" s="27"/>
      <c r="H59" s="29"/>
    </row>
    <row r="60" ht="15.75" customHeight="1">
      <c r="A60" s="57" t="s">
        <v>189</v>
      </c>
      <c r="B60" s="128"/>
      <c r="C60" s="27"/>
      <c r="D60" s="27"/>
      <c r="E60" s="27"/>
      <c r="F60" s="27"/>
      <c r="G60" s="27"/>
      <c r="H60" s="29"/>
    </row>
    <row r="61" ht="15.75" customHeight="1">
      <c r="A61" s="57" t="s">
        <v>39</v>
      </c>
      <c r="B61" s="128"/>
      <c r="C61" s="27"/>
      <c r="D61" s="27"/>
      <c r="E61" s="27"/>
      <c r="F61" s="27"/>
      <c r="G61" s="27"/>
      <c r="H61" s="29"/>
    </row>
    <row r="62" ht="15.75" customHeight="1">
      <c r="A62" s="129" t="s">
        <v>232</v>
      </c>
      <c r="B62" s="16"/>
      <c r="C62" s="16"/>
      <c r="D62" s="16"/>
      <c r="E62" s="16"/>
      <c r="F62" s="16"/>
      <c r="G62" s="16"/>
      <c r="H62" s="16"/>
    </row>
    <row r="63" ht="15.75" customHeight="1">
      <c r="A63" s="113" t="s">
        <v>223</v>
      </c>
      <c r="B63" s="27"/>
      <c r="C63" s="27"/>
      <c r="D63" s="27"/>
      <c r="E63" s="27"/>
      <c r="F63" s="27"/>
      <c r="G63" s="27"/>
      <c r="H63" s="29"/>
    </row>
    <row r="64" ht="15.75" customHeight="1">
      <c r="A64" s="130"/>
      <c r="B64" s="102"/>
      <c r="C64" s="102"/>
      <c r="D64" s="102"/>
      <c r="E64" s="102"/>
      <c r="F64" s="102"/>
      <c r="G64" s="102"/>
      <c r="H64" s="103"/>
    </row>
    <row r="65" ht="15.75" customHeight="1">
      <c r="A65" s="122"/>
      <c r="H65" s="123"/>
    </row>
    <row r="66" ht="15.75" customHeight="1">
      <c r="A66" s="104"/>
      <c r="B66" s="105"/>
      <c r="C66" s="105"/>
      <c r="D66" s="105"/>
      <c r="E66" s="105"/>
      <c r="F66" s="105"/>
      <c r="G66" s="105"/>
      <c r="H66" s="106"/>
    </row>
    <row r="67" ht="15.75" customHeight="1"/>
    <row r="68" ht="15.75" customHeight="1">
      <c r="A68" s="111" t="s">
        <v>234</v>
      </c>
      <c r="G68" s="79" t="s">
        <v>39</v>
      </c>
      <c r="H68" s="112">
        <v>10.0</v>
      </c>
    </row>
    <row r="69" ht="15.75" customHeight="1">
      <c r="G69" s="84" t="s">
        <v>235</v>
      </c>
    </row>
    <row r="70" ht="15.75" customHeight="1">
      <c r="A70" s="57" t="s">
        <v>39</v>
      </c>
      <c r="B70" s="128"/>
      <c r="C70" s="27"/>
      <c r="D70" s="27"/>
      <c r="E70" s="27"/>
      <c r="F70" s="27"/>
      <c r="G70" s="27"/>
      <c r="H70" s="29"/>
    </row>
    <row r="71" ht="15.75" customHeight="1">
      <c r="A71" s="118" t="s">
        <v>236</v>
      </c>
      <c r="B71" s="27"/>
      <c r="C71" s="27"/>
      <c r="D71" s="27"/>
      <c r="E71" s="27"/>
      <c r="F71" s="27"/>
      <c r="G71" s="27"/>
      <c r="H71" s="29"/>
    </row>
    <row r="72" ht="15.75" customHeight="1">
      <c r="A72" s="101" t="s">
        <v>265</v>
      </c>
      <c r="B72" s="102"/>
      <c r="C72" s="102"/>
      <c r="D72" s="102"/>
      <c r="E72" s="102"/>
      <c r="F72" s="102"/>
      <c r="G72" s="102"/>
      <c r="H72" s="103"/>
    </row>
    <row r="73" ht="15.75" customHeight="1">
      <c r="A73" s="104"/>
      <c r="B73" s="105"/>
      <c r="C73" s="105"/>
      <c r="D73" s="105"/>
      <c r="E73" s="105"/>
      <c r="F73" s="105"/>
      <c r="G73" s="105"/>
      <c r="H73" s="106"/>
    </row>
    <row r="74" ht="15.75" customHeight="1">
      <c r="A74" s="84" t="s">
        <v>237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38" t="s">
        <v>63</v>
      </c>
    </row>
    <row r="3" ht="15.75" customHeight="1"/>
    <row r="4" ht="15.75" customHeight="1">
      <c r="B4" s="12" t="s">
        <v>1</v>
      </c>
      <c r="C4" s="25" t="str">
        <f>'Diseño'!C4</f>
        <v>781 - Organización de Lenguajes y Compiladores 2</v>
      </c>
      <c r="D4" s="27"/>
      <c r="E4" s="27"/>
      <c r="F4" s="27"/>
      <c r="G4" s="29"/>
    </row>
    <row r="5" ht="15.75" customHeight="1">
      <c r="B5" s="108" t="s">
        <v>28</v>
      </c>
      <c r="C5" s="25">
        <f>H9+H26+H43</f>
        <v>75</v>
      </c>
      <c r="D5" s="27"/>
      <c r="E5" s="27"/>
      <c r="F5" s="27"/>
      <c r="G5" s="29"/>
    </row>
    <row r="6" ht="15.75" customHeight="1">
      <c r="B6" s="108" t="s">
        <v>189</v>
      </c>
      <c r="C6" s="25">
        <f>F9+F26+F43</f>
        <v>90</v>
      </c>
      <c r="D6" s="27"/>
      <c r="E6" s="27"/>
      <c r="F6" s="27"/>
      <c r="G6" s="29"/>
    </row>
    <row r="7" ht="15.75" customHeight="1">
      <c r="B7" s="90" t="s">
        <v>270</v>
      </c>
    </row>
    <row r="8" ht="15.75" customHeight="1"/>
    <row r="9" ht="15.75" customHeight="1">
      <c r="A9" s="111" t="s">
        <v>273</v>
      </c>
      <c r="E9" s="79" t="s">
        <v>189</v>
      </c>
      <c r="F9" s="112">
        <v>40.0</v>
      </c>
      <c r="G9" s="79" t="s">
        <v>274</v>
      </c>
      <c r="H9" s="112">
        <v>35.0</v>
      </c>
    </row>
    <row r="10" ht="15.75" customHeight="1">
      <c r="A10" s="90" t="s">
        <v>212</v>
      </c>
    </row>
    <row r="11" ht="15.75" customHeight="1">
      <c r="A11" s="97" t="s">
        <v>201</v>
      </c>
      <c r="B11" s="60" t="s">
        <v>37</v>
      </c>
      <c r="C11" s="27"/>
      <c r="D11" s="27"/>
      <c r="E11" s="27"/>
      <c r="F11" s="27"/>
      <c r="G11" s="27"/>
      <c r="H11" s="29"/>
    </row>
    <row r="12" ht="15.75" customHeight="1">
      <c r="A12" s="97" t="s">
        <v>201</v>
      </c>
      <c r="B12" s="60" t="s">
        <v>48</v>
      </c>
      <c r="C12" s="27"/>
      <c r="D12" s="27"/>
      <c r="E12" s="27"/>
      <c r="F12" s="27"/>
      <c r="G12" s="27"/>
      <c r="H12" s="29"/>
    </row>
    <row r="13" ht="15.75" customHeight="1">
      <c r="A13" s="97" t="s">
        <v>201</v>
      </c>
      <c r="B13" s="60" t="s">
        <v>253</v>
      </c>
      <c r="C13" s="27"/>
      <c r="D13" s="27"/>
      <c r="E13" s="27"/>
      <c r="F13" s="27"/>
      <c r="G13" s="27"/>
      <c r="H13" s="29"/>
    </row>
    <row r="14" ht="15.75" customHeight="1">
      <c r="A14" s="97" t="s">
        <v>276</v>
      </c>
      <c r="B14" s="60" t="s">
        <v>278</v>
      </c>
      <c r="C14" s="27"/>
      <c r="D14" s="27"/>
      <c r="E14" s="27"/>
      <c r="F14" s="27"/>
      <c r="G14" s="27"/>
      <c r="H14" s="29"/>
    </row>
    <row r="15" ht="15.75" customHeight="1">
      <c r="A15" s="113" t="s">
        <v>277</v>
      </c>
      <c r="B15" s="27"/>
      <c r="C15" s="27"/>
      <c r="D15" s="27"/>
      <c r="E15" s="27"/>
      <c r="F15" s="27"/>
      <c r="G15" s="27"/>
      <c r="H15" s="29"/>
    </row>
    <row r="16" ht="15.75" customHeight="1">
      <c r="A16" s="134" t="s">
        <v>280</v>
      </c>
      <c r="B16" s="102"/>
      <c r="C16" s="102"/>
      <c r="D16" s="102"/>
      <c r="E16" s="102"/>
      <c r="F16" s="102"/>
      <c r="G16" s="102"/>
      <c r="H16" s="103"/>
    </row>
    <row r="17" ht="15.75" customHeight="1">
      <c r="A17" s="122"/>
      <c r="H17" s="123"/>
    </row>
    <row r="18" ht="15.75" customHeight="1">
      <c r="A18" s="104"/>
      <c r="B18" s="105"/>
      <c r="C18" s="105"/>
      <c r="D18" s="105"/>
      <c r="E18" s="105"/>
      <c r="F18" s="105"/>
      <c r="G18" s="105"/>
      <c r="H18" s="106"/>
    </row>
    <row r="19" ht="15.75" customHeight="1">
      <c r="A19" s="113" t="s">
        <v>279</v>
      </c>
      <c r="B19" s="27"/>
      <c r="C19" s="27"/>
      <c r="D19" s="27"/>
      <c r="E19" s="27"/>
      <c r="F19" s="27"/>
      <c r="G19" s="27"/>
      <c r="H19" s="29"/>
    </row>
    <row r="20" ht="15.75" customHeight="1">
      <c r="A20" s="101" t="s">
        <v>283</v>
      </c>
      <c r="B20" s="102"/>
      <c r="C20" s="102"/>
      <c r="D20" s="102"/>
      <c r="E20" s="102"/>
      <c r="F20" s="102"/>
      <c r="G20" s="102"/>
      <c r="H20" s="103"/>
    </row>
    <row r="21" ht="15.75" customHeight="1">
      <c r="A21" s="122"/>
      <c r="H21" s="123"/>
    </row>
    <row r="22" ht="15.75" customHeight="1">
      <c r="A22" s="122"/>
      <c r="H22" s="123"/>
    </row>
    <row r="23" ht="15.75" customHeight="1">
      <c r="A23" s="104"/>
      <c r="B23" s="105"/>
      <c r="C23" s="105"/>
      <c r="D23" s="105"/>
      <c r="E23" s="105"/>
      <c r="F23" s="105"/>
      <c r="G23" s="105"/>
      <c r="H23" s="106"/>
    </row>
    <row r="24" ht="15.75" customHeight="1"/>
    <row r="25" ht="15.75" customHeight="1"/>
    <row r="26" ht="15.75" customHeight="1">
      <c r="A26" s="111" t="s">
        <v>284</v>
      </c>
      <c r="E26" s="79" t="s">
        <v>189</v>
      </c>
      <c r="F26" s="112">
        <v>50.0</v>
      </c>
      <c r="G26" s="79" t="s">
        <v>274</v>
      </c>
      <c r="H26" s="112">
        <v>40.0</v>
      </c>
    </row>
    <row r="27" ht="15.75" customHeight="1">
      <c r="A27" s="90" t="s">
        <v>212</v>
      </c>
      <c r="B27" s="139" t="s">
        <v>285</v>
      </c>
    </row>
    <row r="28" ht="15.75" customHeight="1">
      <c r="A28" s="97" t="s">
        <v>201</v>
      </c>
      <c r="B28" s="60" t="s">
        <v>253</v>
      </c>
      <c r="C28" s="27"/>
      <c r="D28" s="27"/>
      <c r="E28" s="27"/>
      <c r="F28" s="27"/>
      <c r="G28" s="27"/>
      <c r="H28" s="29"/>
      <c r="I28" s="140" t="s">
        <v>286</v>
      </c>
    </row>
    <row r="29" ht="15.75" customHeight="1">
      <c r="A29" s="97" t="s">
        <v>201</v>
      </c>
      <c r="B29" s="60" t="s">
        <v>93</v>
      </c>
      <c r="C29" s="27"/>
      <c r="D29" s="27"/>
      <c r="E29" s="27"/>
      <c r="F29" s="27"/>
      <c r="G29" s="27"/>
      <c r="H29" s="29"/>
      <c r="I29" s="141" t="s">
        <v>93</v>
      </c>
    </row>
    <row r="30" ht="15.75" customHeight="1">
      <c r="A30" s="97" t="s">
        <v>201</v>
      </c>
      <c r="B30" s="60" t="s">
        <v>48</v>
      </c>
      <c r="C30" s="27"/>
      <c r="D30" s="27"/>
      <c r="E30" s="27"/>
      <c r="F30" s="27"/>
      <c r="G30" s="27"/>
      <c r="H30" s="29"/>
      <c r="I30" s="142" t="s">
        <v>48</v>
      </c>
    </row>
    <row r="31" ht="15.75" customHeight="1">
      <c r="A31" s="97" t="s">
        <v>276</v>
      </c>
      <c r="B31" s="60" t="s">
        <v>288</v>
      </c>
      <c r="C31" s="27"/>
      <c r="D31" s="27"/>
      <c r="E31" s="27"/>
      <c r="F31" s="27"/>
      <c r="G31" s="27"/>
      <c r="H31" s="29"/>
    </row>
    <row r="32" ht="15.75" customHeight="1">
      <c r="A32" s="113" t="s">
        <v>277</v>
      </c>
      <c r="B32" s="27"/>
      <c r="C32" s="27"/>
      <c r="D32" s="27"/>
      <c r="E32" s="27"/>
      <c r="F32" s="27"/>
      <c r="G32" s="27"/>
      <c r="H32" s="29"/>
    </row>
    <row r="33" ht="15.75" customHeight="1">
      <c r="A33" s="134" t="s">
        <v>289</v>
      </c>
      <c r="B33" s="102"/>
      <c r="C33" s="102"/>
      <c r="D33" s="102"/>
      <c r="E33" s="102"/>
      <c r="F33" s="102"/>
      <c r="G33" s="102"/>
      <c r="H33" s="103"/>
    </row>
    <row r="34" ht="15.75" customHeight="1">
      <c r="A34" s="122"/>
      <c r="H34" s="123"/>
    </row>
    <row r="35" ht="15.75" customHeight="1">
      <c r="A35" s="104"/>
      <c r="B35" s="105"/>
      <c r="C35" s="105"/>
      <c r="D35" s="105"/>
      <c r="E35" s="105"/>
      <c r="F35" s="105"/>
      <c r="G35" s="105"/>
      <c r="H35" s="106"/>
    </row>
    <row r="36" ht="15.75" customHeight="1">
      <c r="A36" s="113" t="s">
        <v>279</v>
      </c>
      <c r="B36" s="27"/>
      <c r="C36" s="27"/>
      <c r="D36" s="27"/>
      <c r="E36" s="27"/>
      <c r="F36" s="27"/>
      <c r="G36" s="27"/>
      <c r="H36" s="29"/>
    </row>
    <row r="37" ht="15.75" customHeight="1">
      <c r="A37" s="143" t="s">
        <v>290</v>
      </c>
      <c r="B37" s="102"/>
      <c r="C37" s="102"/>
      <c r="D37" s="102"/>
      <c r="E37" s="102"/>
      <c r="F37" s="102"/>
      <c r="G37" s="102"/>
      <c r="H37" s="103"/>
    </row>
    <row r="38" ht="15.75" customHeight="1">
      <c r="A38" s="122"/>
      <c r="H38" s="123"/>
    </row>
    <row r="39" ht="15.75" customHeight="1">
      <c r="A39" s="122"/>
      <c r="H39" s="123"/>
    </row>
    <row r="40" ht="15.75" customHeight="1">
      <c r="A40" s="104"/>
      <c r="B40" s="105"/>
      <c r="C40" s="105"/>
      <c r="D40" s="105"/>
      <c r="E40" s="105"/>
      <c r="F40" s="105"/>
      <c r="G40" s="105"/>
      <c r="H40" s="106"/>
    </row>
    <row r="41" ht="15.75" customHeight="1"/>
    <row r="42" ht="15.75" customHeight="1"/>
    <row r="43" ht="15.75" customHeight="1">
      <c r="A43" s="111" t="s">
        <v>292</v>
      </c>
      <c r="E43" s="79" t="s">
        <v>189</v>
      </c>
      <c r="F43" s="115"/>
      <c r="G43" s="79" t="s">
        <v>274</v>
      </c>
      <c r="H43" s="115"/>
    </row>
    <row r="44" ht="15.75" customHeight="1">
      <c r="A44" s="121" t="s">
        <v>282</v>
      </c>
    </row>
    <row r="45" ht="15.75" customHeight="1">
      <c r="A45" s="97" t="s">
        <v>201</v>
      </c>
      <c r="B45" s="25"/>
      <c r="C45" s="27"/>
      <c r="D45" s="27"/>
      <c r="E45" s="27"/>
      <c r="F45" s="27"/>
      <c r="G45" s="27"/>
      <c r="H45" s="29"/>
    </row>
    <row r="46" ht="15.75" customHeight="1">
      <c r="A46" s="97" t="s">
        <v>201</v>
      </c>
      <c r="B46" s="25"/>
      <c r="C46" s="27"/>
      <c r="D46" s="27"/>
      <c r="E46" s="27"/>
      <c r="F46" s="27"/>
      <c r="G46" s="27"/>
      <c r="H46" s="29"/>
    </row>
    <row r="47" ht="15.75" customHeight="1">
      <c r="A47" s="97" t="s">
        <v>201</v>
      </c>
      <c r="B47" s="25"/>
      <c r="C47" s="27"/>
      <c r="D47" s="27"/>
      <c r="E47" s="27"/>
      <c r="F47" s="27"/>
      <c r="G47" s="27"/>
      <c r="H47" s="29"/>
    </row>
    <row r="48" ht="15.75" customHeight="1">
      <c r="A48" s="97" t="s">
        <v>276</v>
      </c>
      <c r="B48" s="25"/>
      <c r="C48" s="27"/>
      <c r="D48" s="27"/>
      <c r="E48" s="27"/>
      <c r="F48" s="27"/>
      <c r="G48" s="27"/>
      <c r="H48" s="29"/>
    </row>
    <row r="49" ht="15.75" customHeight="1">
      <c r="A49" s="113" t="s">
        <v>277</v>
      </c>
      <c r="B49" s="27"/>
      <c r="C49" s="27"/>
      <c r="D49" s="27"/>
      <c r="E49" s="27"/>
      <c r="F49" s="27"/>
      <c r="G49" s="27"/>
      <c r="H49" s="29"/>
    </row>
    <row r="50" ht="15.75" customHeight="1">
      <c r="A50" s="130"/>
      <c r="B50" s="102"/>
      <c r="C50" s="102"/>
      <c r="D50" s="102"/>
      <c r="E50" s="102"/>
      <c r="F50" s="102"/>
      <c r="G50" s="102"/>
      <c r="H50" s="103"/>
    </row>
    <row r="51" ht="15.75" customHeight="1">
      <c r="A51" s="122"/>
      <c r="H51" s="123"/>
    </row>
    <row r="52" ht="15.75" customHeight="1">
      <c r="A52" s="104"/>
      <c r="B52" s="105"/>
      <c r="C52" s="105"/>
      <c r="D52" s="105"/>
      <c r="E52" s="105"/>
      <c r="F52" s="105"/>
      <c r="G52" s="105"/>
      <c r="H52" s="106"/>
    </row>
    <row r="53" ht="15.75" customHeight="1">
      <c r="A53" s="113" t="s">
        <v>279</v>
      </c>
      <c r="B53" s="27"/>
      <c r="C53" s="27"/>
      <c r="D53" s="27"/>
      <c r="E53" s="27"/>
      <c r="F53" s="27"/>
      <c r="G53" s="27"/>
      <c r="H53" s="29"/>
    </row>
    <row r="54" ht="15.75" customHeight="1">
      <c r="A54" s="130"/>
      <c r="B54" s="102"/>
      <c r="C54" s="102"/>
      <c r="D54" s="102"/>
      <c r="E54" s="102"/>
      <c r="F54" s="102"/>
      <c r="G54" s="102"/>
      <c r="H54" s="103"/>
    </row>
    <row r="55" ht="15.75" customHeight="1">
      <c r="A55" s="122"/>
      <c r="H55" s="123"/>
    </row>
    <row r="56" ht="15.75" customHeight="1">
      <c r="A56" s="122"/>
      <c r="H56" s="123"/>
    </row>
    <row r="57" ht="15.75" customHeight="1">
      <c r="A57" s="104"/>
      <c r="B57" s="105"/>
      <c r="C57" s="105"/>
      <c r="D57" s="105"/>
      <c r="E57" s="105"/>
      <c r="F57" s="105"/>
      <c r="G57" s="105"/>
      <c r="H57" s="106"/>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2">
    <mergeCell ref="B2:H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I29:P29"/>
    <mergeCell ref="B30:H30"/>
    <mergeCell ref="B31:H31"/>
    <mergeCell ref="A32:H32"/>
    <mergeCell ref="A33:H35"/>
    <mergeCell ref="A49:H49"/>
    <mergeCell ref="A50:H52"/>
    <mergeCell ref="A53:H53"/>
    <mergeCell ref="A54:H57"/>
    <mergeCell ref="A36:H36"/>
    <mergeCell ref="A37:H40"/>
    <mergeCell ref="A43:D43"/>
    <mergeCell ref="B45:H45"/>
    <mergeCell ref="B46:H46"/>
    <mergeCell ref="B47:H47"/>
    <mergeCell ref="B48:H48"/>
  </mergeCells>
  <dataValidations>
    <dataValidation type="list" allowBlank="1" showErrorMessage="1" sqref="B45:B47">
      <formula1>Metadata!$I$17:$I$40</formula1>
    </dataValidation>
    <dataValidation type="list" allowBlank="1" showErrorMessage="1" sqref="B11:B13 B28:B30">
      <formula1>Metadata!$B$2:$B$40</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38" t="s">
        <v>268</v>
      </c>
    </row>
    <row r="3" ht="15.75" customHeight="1"/>
    <row r="4" ht="15.75" customHeight="1">
      <c r="B4" s="12" t="s">
        <v>1</v>
      </c>
      <c r="C4" s="25" t="str">
        <f>'Diseño'!C4</f>
        <v>781 - Organización de Lenguajes y Compiladores 2</v>
      </c>
      <c r="D4" s="27"/>
      <c r="E4" s="27"/>
      <c r="F4" s="27"/>
      <c r="G4" s="29"/>
    </row>
    <row r="5" ht="15.75" customHeight="1">
      <c r="B5" s="108" t="s">
        <v>28</v>
      </c>
      <c r="C5" s="25">
        <f>H9+H26+H43+H60+H77+H94+H111</f>
        <v>0</v>
      </c>
      <c r="D5" s="27"/>
      <c r="E5" s="27"/>
      <c r="F5" s="27"/>
      <c r="G5" s="29"/>
    </row>
    <row r="6" ht="15.75" customHeight="1">
      <c r="B6" s="108" t="s">
        <v>189</v>
      </c>
      <c r="C6" s="25">
        <f>F9+F26+F43+F60+F77+F94+F111</f>
        <v>0</v>
      </c>
      <c r="D6" s="27"/>
      <c r="E6" s="27"/>
      <c r="F6" s="27"/>
      <c r="G6" s="29"/>
    </row>
    <row r="7" ht="15.75" customHeight="1">
      <c r="B7" s="90" t="s">
        <v>269</v>
      </c>
    </row>
    <row r="8" ht="15.75" customHeight="1"/>
    <row r="9" ht="15.75" customHeight="1">
      <c r="A9" s="111" t="s">
        <v>272</v>
      </c>
      <c r="E9" s="79" t="s">
        <v>189</v>
      </c>
      <c r="F9" s="115"/>
      <c r="G9" s="79" t="s">
        <v>274</v>
      </c>
      <c r="H9" s="115"/>
    </row>
    <row r="10" ht="15.75" customHeight="1">
      <c r="A10" s="90" t="s">
        <v>275</v>
      </c>
    </row>
    <row r="11" ht="15.75" customHeight="1">
      <c r="A11" s="97" t="s">
        <v>201</v>
      </c>
      <c r="B11" s="25"/>
      <c r="C11" s="27"/>
      <c r="D11" s="27"/>
      <c r="E11" s="27"/>
      <c r="F11" s="27"/>
      <c r="G11" s="27"/>
      <c r="H11" s="29"/>
    </row>
    <row r="12" ht="15.75" customHeight="1">
      <c r="A12" s="97" t="s">
        <v>201</v>
      </c>
      <c r="B12" s="25"/>
      <c r="C12" s="27"/>
      <c r="D12" s="27"/>
      <c r="E12" s="27"/>
      <c r="F12" s="27"/>
      <c r="G12" s="27"/>
      <c r="H12" s="29"/>
    </row>
    <row r="13" ht="15.75" customHeight="1">
      <c r="A13" s="97" t="s">
        <v>201</v>
      </c>
      <c r="B13" s="25"/>
      <c r="C13" s="27"/>
      <c r="D13" s="27"/>
      <c r="E13" s="27"/>
      <c r="F13" s="27"/>
      <c r="G13" s="27"/>
      <c r="H13" s="29"/>
    </row>
    <row r="14" ht="15.75" customHeight="1">
      <c r="A14" s="97" t="s">
        <v>276</v>
      </c>
      <c r="B14" s="25"/>
      <c r="C14" s="27"/>
      <c r="D14" s="27"/>
      <c r="E14" s="27"/>
      <c r="F14" s="27"/>
      <c r="G14" s="27"/>
      <c r="H14" s="29"/>
    </row>
    <row r="15" ht="15.75" customHeight="1">
      <c r="A15" s="113" t="s">
        <v>277</v>
      </c>
      <c r="B15" s="27"/>
      <c r="C15" s="27"/>
      <c r="D15" s="27"/>
      <c r="E15" s="27"/>
      <c r="F15" s="27"/>
      <c r="G15" s="27"/>
      <c r="H15" s="29"/>
    </row>
    <row r="16" ht="15.75" customHeight="1">
      <c r="A16" s="130"/>
      <c r="B16" s="102"/>
      <c r="C16" s="102"/>
      <c r="D16" s="102"/>
      <c r="E16" s="102"/>
      <c r="F16" s="102"/>
      <c r="G16" s="102"/>
      <c r="H16" s="103"/>
    </row>
    <row r="17" ht="15.75" customHeight="1">
      <c r="A17" s="122"/>
      <c r="H17" s="123"/>
    </row>
    <row r="18" ht="15.75" customHeight="1">
      <c r="A18" s="104"/>
      <c r="B18" s="105"/>
      <c r="C18" s="105"/>
      <c r="D18" s="105"/>
      <c r="E18" s="105"/>
      <c r="F18" s="105"/>
      <c r="G18" s="105"/>
      <c r="H18" s="106"/>
    </row>
    <row r="19" ht="15.75" customHeight="1">
      <c r="A19" s="113" t="s">
        <v>279</v>
      </c>
      <c r="B19" s="27"/>
      <c r="C19" s="27"/>
      <c r="D19" s="27"/>
      <c r="E19" s="27"/>
      <c r="F19" s="27"/>
      <c r="G19" s="27"/>
      <c r="H19" s="29"/>
    </row>
    <row r="20" ht="15.75" customHeight="1">
      <c r="A20" s="130"/>
      <c r="B20" s="102"/>
      <c r="C20" s="102"/>
      <c r="D20" s="102"/>
      <c r="E20" s="102"/>
      <c r="F20" s="102"/>
      <c r="G20" s="102"/>
      <c r="H20" s="103"/>
    </row>
    <row r="21" ht="15.75" customHeight="1">
      <c r="A21" s="122"/>
      <c r="H21" s="123"/>
    </row>
    <row r="22" ht="15.75" customHeight="1">
      <c r="A22" s="122"/>
      <c r="H22" s="123"/>
    </row>
    <row r="23" ht="15.75" customHeight="1">
      <c r="A23" s="104"/>
      <c r="B23" s="105"/>
      <c r="C23" s="105"/>
      <c r="D23" s="105"/>
      <c r="E23" s="105"/>
      <c r="F23" s="105"/>
      <c r="G23" s="105"/>
      <c r="H23" s="106"/>
    </row>
    <row r="24" ht="15.75" customHeight="1"/>
    <row r="25" ht="15.75" customHeight="1"/>
    <row r="26" ht="15.75" customHeight="1">
      <c r="A26" s="111" t="s">
        <v>281</v>
      </c>
      <c r="E26" s="79" t="s">
        <v>189</v>
      </c>
      <c r="F26" s="115"/>
      <c r="G26" s="79" t="s">
        <v>274</v>
      </c>
      <c r="H26" s="115"/>
    </row>
    <row r="27" ht="15.75" customHeight="1">
      <c r="A27" s="121" t="s">
        <v>282</v>
      </c>
    </row>
    <row r="28" ht="15.75" customHeight="1">
      <c r="A28" s="97" t="s">
        <v>201</v>
      </c>
      <c r="B28" s="25"/>
      <c r="C28" s="27"/>
      <c r="D28" s="27"/>
      <c r="E28" s="27"/>
      <c r="F28" s="27"/>
      <c r="G28" s="27"/>
      <c r="H28" s="29"/>
    </row>
    <row r="29" ht="15.75" customHeight="1">
      <c r="A29" s="97" t="s">
        <v>201</v>
      </c>
      <c r="B29" s="25"/>
      <c r="C29" s="27"/>
      <c r="D29" s="27"/>
      <c r="E29" s="27"/>
      <c r="F29" s="27"/>
      <c r="G29" s="27"/>
      <c r="H29" s="29"/>
    </row>
    <row r="30" ht="15.75" customHeight="1">
      <c r="A30" s="97" t="s">
        <v>201</v>
      </c>
      <c r="B30" s="25"/>
      <c r="C30" s="27"/>
      <c r="D30" s="27"/>
      <c r="E30" s="27"/>
      <c r="F30" s="27"/>
      <c r="G30" s="27"/>
      <c r="H30" s="29"/>
    </row>
    <row r="31" ht="15.75" customHeight="1">
      <c r="A31" s="97" t="s">
        <v>276</v>
      </c>
      <c r="B31" s="25"/>
      <c r="C31" s="27"/>
      <c r="D31" s="27"/>
      <c r="E31" s="27"/>
      <c r="F31" s="27"/>
      <c r="G31" s="27"/>
      <c r="H31" s="29"/>
    </row>
    <row r="32" ht="15.75" customHeight="1">
      <c r="A32" s="113" t="s">
        <v>277</v>
      </c>
      <c r="B32" s="27"/>
      <c r="C32" s="27"/>
      <c r="D32" s="27"/>
      <c r="E32" s="27"/>
      <c r="F32" s="27"/>
      <c r="G32" s="27"/>
      <c r="H32" s="29"/>
    </row>
    <row r="33" ht="15.75" customHeight="1">
      <c r="A33" s="130"/>
      <c r="B33" s="102"/>
      <c r="C33" s="102"/>
      <c r="D33" s="102"/>
      <c r="E33" s="102"/>
      <c r="F33" s="102"/>
      <c r="G33" s="102"/>
      <c r="H33" s="103"/>
    </row>
    <row r="34" ht="15.75" customHeight="1">
      <c r="A34" s="122"/>
      <c r="H34" s="123"/>
    </row>
    <row r="35" ht="15.75" customHeight="1">
      <c r="A35" s="104"/>
      <c r="B35" s="105"/>
      <c r="C35" s="105"/>
      <c r="D35" s="105"/>
      <c r="E35" s="105"/>
      <c r="F35" s="105"/>
      <c r="G35" s="105"/>
      <c r="H35" s="106"/>
    </row>
    <row r="36" ht="15.75" customHeight="1">
      <c r="A36" s="113" t="s">
        <v>279</v>
      </c>
      <c r="B36" s="27"/>
      <c r="C36" s="27"/>
      <c r="D36" s="27"/>
      <c r="E36" s="27"/>
      <c r="F36" s="27"/>
      <c r="G36" s="27"/>
      <c r="H36" s="29"/>
    </row>
    <row r="37" ht="15.75" customHeight="1">
      <c r="A37" s="130"/>
      <c r="B37" s="102"/>
      <c r="C37" s="102"/>
      <c r="D37" s="102"/>
      <c r="E37" s="102"/>
      <c r="F37" s="102"/>
      <c r="G37" s="102"/>
      <c r="H37" s="103"/>
    </row>
    <row r="38" ht="15.75" customHeight="1">
      <c r="A38" s="122"/>
      <c r="H38" s="123"/>
    </row>
    <row r="39" ht="15.75" customHeight="1">
      <c r="A39" s="122"/>
      <c r="H39" s="123"/>
    </row>
    <row r="40" ht="15.75" customHeight="1">
      <c r="A40" s="104"/>
      <c r="B40" s="105"/>
      <c r="C40" s="105"/>
      <c r="D40" s="105"/>
      <c r="E40" s="105"/>
      <c r="F40" s="105"/>
      <c r="G40" s="105"/>
      <c r="H40" s="106"/>
    </row>
    <row r="41" ht="15.75" customHeight="1"/>
    <row r="42" ht="15.75" customHeight="1"/>
    <row r="43" ht="15.75" customHeight="1">
      <c r="A43" s="111" t="s">
        <v>287</v>
      </c>
      <c r="E43" s="79" t="s">
        <v>189</v>
      </c>
      <c r="F43" s="115"/>
      <c r="G43" s="79" t="s">
        <v>274</v>
      </c>
      <c r="H43" s="115"/>
    </row>
    <row r="44" ht="15.75" customHeight="1">
      <c r="A44" s="121" t="s">
        <v>282</v>
      </c>
    </row>
    <row r="45" ht="15.75" customHeight="1">
      <c r="A45" s="97" t="s">
        <v>201</v>
      </c>
      <c r="B45" s="25"/>
      <c r="C45" s="27"/>
      <c r="D45" s="27"/>
      <c r="E45" s="27"/>
      <c r="F45" s="27"/>
      <c r="G45" s="27"/>
      <c r="H45" s="29"/>
    </row>
    <row r="46" ht="15.75" customHeight="1">
      <c r="A46" s="97" t="s">
        <v>201</v>
      </c>
      <c r="B46" s="25"/>
      <c r="C46" s="27"/>
      <c r="D46" s="27"/>
      <c r="E46" s="27"/>
      <c r="F46" s="27"/>
      <c r="G46" s="27"/>
      <c r="H46" s="29"/>
    </row>
    <row r="47" ht="15.75" customHeight="1">
      <c r="A47" s="97" t="s">
        <v>201</v>
      </c>
      <c r="B47" s="25"/>
      <c r="C47" s="27"/>
      <c r="D47" s="27"/>
      <c r="E47" s="27"/>
      <c r="F47" s="27"/>
      <c r="G47" s="27"/>
      <c r="H47" s="29"/>
    </row>
    <row r="48" ht="15.75" customHeight="1">
      <c r="A48" s="97" t="s">
        <v>276</v>
      </c>
      <c r="B48" s="25"/>
      <c r="C48" s="27"/>
      <c r="D48" s="27"/>
      <c r="E48" s="27"/>
      <c r="F48" s="27"/>
      <c r="G48" s="27"/>
      <c r="H48" s="29"/>
    </row>
    <row r="49" ht="15.75" customHeight="1">
      <c r="A49" s="113" t="s">
        <v>277</v>
      </c>
      <c r="B49" s="27"/>
      <c r="C49" s="27"/>
      <c r="D49" s="27"/>
      <c r="E49" s="27"/>
      <c r="F49" s="27"/>
      <c r="G49" s="27"/>
      <c r="H49" s="29"/>
    </row>
    <row r="50" ht="15.75" customHeight="1">
      <c r="A50" s="130"/>
      <c r="B50" s="102"/>
      <c r="C50" s="102"/>
      <c r="D50" s="102"/>
      <c r="E50" s="102"/>
      <c r="F50" s="102"/>
      <c r="G50" s="102"/>
      <c r="H50" s="103"/>
    </row>
    <row r="51" ht="15.75" customHeight="1">
      <c r="A51" s="122"/>
      <c r="H51" s="123"/>
    </row>
    <row r="52" ht="15.75" customHeight="1">
      <c r="A52" s="104"/>
      <c r="B52" s="105"/>
      <c r="C52" s="105"/>
      <c r="D52" s="105"/>
      <c r="E52" s="105"/>
      <c r="F52" s="105"/>
      <c r="G52" s="105"/>
      <c r="H52" s="106"/>
    </row>
    <row r="53" ht="15.75" customHeight="1">
      <c r="A53" s="113" t="s">
        <v>279</v>
      </c>
      <c r="B53" s="27"/>
      <c r="C53" s="27"/>
      <c r="D53" s="27"/>
      <c r="E53" s="27"/>
      <c r="F53" s="27"/>
      <c r="G53" s="27"/>
      <c r="H53" s="29"/>
    </row>
    <row r="54" ht="15.75" customHeight="1">
      <c r="A54" s="130"/>
      <c r="B54" s="102"/>
      <c r="C54" s="102"/>
      <c r="D54" s="102"/>
      <c r="E54" s="102"/>
      <c r="F54" s="102"/>
      <c r="G54" s="102"/>
      <c r="H54" s="103"/>
    </row>
    <row r="55" ht="15.75" customHeight="1">
      <c r="A55" s="122"/>
      <c r="H55" s="123"/>
    </row>
    <row r="56" ht="15.75" customHeight="1">
      <c r="A56" s="122"/>
      <c r="H56" s="123"/>
    </row>
    <row r="57" ht="15.75" customHeight="1">
      <c r="A57" s="104"/>
      <c r="B57" s="105"/>
      <c r="C57" s="105"/>
      <c r="D57" s="105"/>
      <c r="E57" s="105"/>
      <c r="F57" s="105"/>
      <c r="G57" s="105"/>
      <c r="H57" s="106"/>
    </row>
    <row r="58" ht="15.75" customHeight="1"/>
    <row r="59" ht="15.75" customHeight="1"/>
    <row r="60" ht="15.75" customHeight="1">
      <c r="A60" s="111" t="s">
        <v>291</v>
      </c>
      <c r="E60" s="79" t="s">
        <v>189</v>
      </c>
      <c r="F60" s="115"/>
      <c r="G60" s="79" t="s">
        <v>274</v>
      </c>
      <c r="H60" s="115"/>
    </row>
    <row r="61" ht="15.75" customHeight="1">
      <c r="A61" s="121" t="s">
        <v>282</v>
      </c>
    </row>
    <row r="62" ht="15.75" customHeight="1">
      <c r="A62" s="97" t="s">
        <v>201</v>
      </c>
      <c r="B62" s="25"/>
      <c r="C62" s="27"/>
      <c r="D62" s="27"/>
      <c r="E62" s="27"/>
      <c r="F62" s="27"/>
      <c r="G62" s="27"/>
      <c r="H62" s="29"/>
    </row>
    <row r="63" ht="15.75" customHeight="1">
      <c r="A63" s="97" t="s">
        <v>201</v>
      </c>
      <c r="B63" s="25"/>
      <c r="C63" s="27"/>
      <c r="D63" s="27"/>
      <c r="E63" s="27"/>
      <c r="F63" s="27"/>
      <c r="G63" s="27"/>
      <c r="H63" s="29"/>
    </row>
    <row r="64" ht="15.75" customHeight="1">
      <c r="A64" s="97" t="s">
        <v>201</v>
      </c>
      <c r="B64" s="25"/>
      <c r="C64" s="27"/>
      <c r="D64" s="27"/>
      <c r="E64" s="27"/>
      <c r="F64" s="27"/>
      <c r="G64" s="27"/>
      <c r="H64" s="29"/>
    </row>
    <row r="65" ht="15.75" customHeight="1">
      <c r="A65" s="97" t="s">
        <v>276</v>
      </c>
      <c r="B65" s="25"/>
      <c r="C65" s="27"/>
      <c r="D65" s="27"/>
      <c r="E65" s="27"/>
      <c r="F65" s="27"/>
      <c r="G65" s="27"/>
      <c r="H65" s="29"/>
    </row>
    <row r="66" ht="15.75" customHeight="1">
      <c r="A66" s="113" t="s">
        <v>277</v>
      </c>
      <c r="B66" s="27"/>
      <c r="C66" s="27"/>
      <c r="D66" s="27"/>
      <c r="E66" s="27"/>
      <c r="F66" s="27"/>
      <c r="G66" s="27"/>
      <c r="H66" s="29"/>
    </row>
    <row r="67" ht="15.75" customHeight="1">
      <c r="A67" s="130"/>
      <c r="B67" s="102"/>
      <c r="C67" s="102"/>
      <c r="D67" s="102"/>
      <c r="E67" s="102"/>
      <c r="F67" s="102"/>
      <c r="G67" s="102"/>
      <c r="H67" s="103"/>
    </row>
    <row r="68" ht="15.75" customHeight="1">
      <c r="A68" s="122"/>
      <c r="H68" s="123"/>
    </row>
    <row r="69" ht="15.75" customHeight="1">
      <c r="A69" s="104"/>
      <c r="B69" s="105"/>
      <c r="C69" s="105"/>
      <c r="D69" s="105"/>
      <c r="E69" s="105"/>
      <c r="F69" s="105"/>
      <c r="G69" s="105"/>
      <c r="H69" s="106"/>
    </row>
    <row r="70" ht="15.75" customHeight="1">
      <c r="A70" s="113" t="s">
        <v>279</v>
      </c>
      <c r="B70" s="27"/>
      <c r="C70" s="27"/>
      <c r="D70" s="27"/>
      <c r="E70" s="27"/>
      <c r="F70" s="27"/>
      <c r="G70" s="27"/>
      <c r="H70" s="29"/>
    </row>
    <row r="71" ht="15.75" customHeight="1">
      <c r="A71" s="130"/>
      <c r="B71" s="102"/>
      <c r="C71" s="102"/>
      <c r="D71" s="102"/>
      <c r="E71" s="102"/>
      <c r="F71" s="102"/>
      <c r="G71" s="102"/>
      <c r="H71" s="103"/>
    </row>
    <row r="72" ht="15.75" customHeight="1">
      <c r="A72" s="122"/>
      <c r="H72" s="123"/>
    </row>
    <row r="73" ht="15.75" customHeight="1">
      <c r="A73" s="122"/>
      <c r="H73" s="123"/>
    </row>
    <row r="74" ht="15.75" customHeight="1">
      <c r="A74" s="104"/>
      <c r="B74" s="105"/>
      <c r="C74" s="105"/>
      <c r="D74" s="105"/>
      <c r="E74" s="105"/>
      <c r="F74" s="105"/>
      <c r="G74" s="105"/>
      <c r="H74" s="106"/>
    </row>
    <row r="75" ht="15.75" customHeight="1"/>
    <row r="76" ht="15.75" customHeight="1"/>
    <row r="77" ht="15.75" customHeight="1">
      <c r="A77" s="111" t="s">
        <v>293</v>
      </c>
      <c r="E77" s="79" t="s">
        <v>189</v>
      </c>
      <c r="F77" s="115"/>
      <c r="G77" s="79" t="s">
        <v>274</v>
      </c>
      <c r="H77" s="115"/>
    </row>
    <row r="78" ht="15.75" customHeight="1">
      <c r="A78" s="121" t="s">
        <v>282</v>
      </c>
    </row>
    <row r="79" ht="15.75" customHeight="1">
      <c r="A79" s="97" t="s">
        <v>201</v>
      </c>
      <c r="B79" s="25"/>
      <c r="C79" s="27"/>
      <c r="D79" s="27"/>
      <c r="E79" s="27"/>
      <c r="F79" s="27"/>
      <c r="G79" s="27"/>
      <c r="H79" s="29"/>
    </row>
    <row r="80" ht="15.75" customHeight="1">
      <c r="A80" s="97" t="s">
        <v>201</v>
      </c>
      <c r="B80" s="25"/>
      <c r="C80" s="27"/>
      <c r="D80" s="27"/>
      <c r="E80" s="27"/>
      <c r="F80" s="27"/>
      <c r="G80" s="27"/>
      <c r="H80" s="29"/>
    </row>
    <row r="81" ht="15.75" customHeight="1">
      <c r="A81" s="97" t="s">
        <v>201</v>
      </c>
      <c r="B81" s="25"/>
      <c r="C81" s="27"/>
      <c r="D81" s="27"/>
      <c r="E81" s="27"/>
      <c r="F81" s="27"/>
      <c r="G81" s="27"/>
      <c r="H81" s="29"/>
    </row>
    <row r="82" ht="15.75" customHeight="1">
      <c r="A82" s="97" t="s">
        <v>276</v>
      </c>
      <c r="B82" s="25"/>
      <c r="C82" s="27"/>
      <c r="D82" s="27"/>
      <c r="E82" s="27"/>
      <c r="F82" s="27"/>
      <c r="G82" s="27"/>
      <c r="H82" s="29"/>
    </row>
    <row r="83" ht="15.75" customHeight="1">
      <c r="A83" s="113" t="s">
        <v>277</v>
      </c>
      <c r="B83" s="27"/>
      <c r="C83" s="27"/>
      <c r="D83" s="27"/>
      <c r="E83" s="27"/>
      <c r="F83" s="27"/>
      <c r="G83" s="27"/>
      <c r="H83" s="29"/>
    </row>
    <row r="84" ht="15.75" customHeight="1">
      <c r="A84" s="130"/>
      <c r="B84" s="102"/>
      <c r="C84" s="102"/>
      <c r="D84" s="102"/>
      <c r="E84" s="102"/>
      <c r="F84" s="102"/>
      <c r="G84" s="102"/>
      <c r="H84" s="103"/>
    </row>
    <row r="85" ht="15.75" customHeight="1">
      <c r="A85" s="122"/>
      <c r="H85" s="123"/>
    </row>
    <row r="86" ht="15.75" customHeight="1">
      <c r="A86" s="104"/>
      <c r="B86" s="105"/>
      <c r="C86" s="105"/>
      <c r="D86" s="105"/>
      <c r="E86" s="105"/>
      <c r="F86" s="105"/>
      <c r="G86" s="105"/>
      <c r="H86" s="106"/>
    </row>
    <row r="87" ht="15.75" customHeight="1">
      <c r="A87" s="113" t="s">
        <v>279</v>
      </c>
      <c r="B87" s="27"/>
      <c r="C87" s="27"/>
      <c r="D87" s="27"/>
      <c r="E87" s="27"/>
      <c r="F87" s="27"/>
      <c r="G87" s="27"/>
      <c r="H87" s="29"/>
    </row>
    <row r="88" ht="15.75" customHeight="1">
      <c r="A88" s="130"/>
      <c r="B88" s="102"/>
      <c r="C88" s="102"/>
      <c r="D88" s="102"/>
      <c r="E88" s="102"/>
      <c r="F88" s="102"/>
      <c r="G88" s="102"/>
      <c r="H88" s="103"/>
    </row>
    <row r="89" ht="15.75" customHeight="1">
      <c r="A89" s="122"/>
      <c r="H89" s="123"/>
    </row>
    <row r="90" ht="15.75" customHeight="1">
      <c r="A90" s="122"/>
      <c r="H90" s="123"/>
    </row>
    <row r="91" ht="15.75" customHeight="1">
      <c r="A91" s="104"/>
      <c r="B91" s="105"/>
      <c r="C91" s="105"/>
      <c r="D91" s="105"/>
      <c r="E91" s="105"/>
      <c r="F91" s="105"/>
      <c r="G91" s="105"/>
      <c r="H91" s="106"/>
    </row>
    <row r="92" ht="15.75" customHeight="1"/>
    <row r="93" ht="15.75" customHeight="1"/>
    <row r="94" ht="15.75" customHeight="1">
      <c r="A94" s="111" t="s">
        <v>294</v>
      </c>
      <c r="E94" s="79" t="s">
        <v>189</v>
      </c>
      <c r="F94" s="115"/>
      <c r="G94" s="79" t="s">
        <v>274</v>
      </c>
      <c r="H94" s="115"/>
    </row>
    <row r="95" ht="15.75" customHeight="1">
      <c r="A95" s="121" t="s">
        <v>282</v>
      </c>
    </row>
    <row r="96" ht="15.75" customHeight="1">
      <c r="A96" s="97" t="s">
        <v>201</v>
      </c>
      <c r="B96" s="25"/>
      <c r="C96" s="27"/>
      <c r="D96" s="27"/>
      <c r="E96" s="27"/>
      <c r="F96" s="27"/>
      <c r="G96" s="27"/>
      <c r="H96" s="29"/>
    </row>
    <row r="97" ht="15.75" customHeight="1">
      <c r="A97" s="97" t="s">
        <v>201</v>
      </c>
      <c r="B97" s="25"/>
      <c r="C97" s="27"/>
      <c r="D97" s="27"/>
      <c r="E97" s="27"/>
      <c r="F97" s="27"/>
      <c r="G97" s="27"/>
      <c r="H97" s="29"/>
    </row>
    <row r="98" ht="15.75" customHeight="1">
      <c r="A98" s="97" t="s">
        <v>201</v>
      </c>
      <c r="B98" s="25"/>
      <c r="C98" s="27"/>
      <c r="D98" s="27"/>
      <c r="E98" s="27"/>
      <c r="F98" s="27"/>
      <c r="G98" s="27"/>
      <c r="H98" s="29"/>
    </row>
    <row r="99" ht="15.75" customHeight="1">
      <c r="A99" s="97" t="s">
        <v>276</v>
      </c>
      <c r="B99" s="25"/>
      <c r="C99" s="27"/>
      <c r="D99" s="27"/>
      <c r="E99" s="27"/>
      <c r="F99" s="27"/>
      <c r="G99" s="27"/>
      <c r="H99" s="29"/>
    </row>
    <row r="100" ht="15.75" customHeight="1">
      <c r="A100" s="113" t="s">
        <v>277</v>
      </c>
      <c r="B100" s="27"/>
      <c r="C100" s="27"/>
      <c r="D100" s="27"/>
      <c r="E100" s="27"/>
      <c r="F100" s="27"/>
      <c r="G100" s="27"/>
      <c r="H100" s="29"/>
    </row>
    <row r="101" ht="15.75" customHeight="1">
      <c r="A101" s="130"/>
      <c r="B101" s="102"/>
      <c r="C101" s="102"/>
      <c r="D101" s="102"/>
      <c r="E101" s="102"/>
      <c r="F101" s="102"/>
      <c r="G101" s="102"/>
      <c r="H101" s="103"/>
    </row>
    <row r="102" ht="15.75" customHeight="1">
      <c r="A102" s="122"/>
      <c r="H102" s="123"/>
    </row>
    <row r="103" ht="15.75" customHeight="1">
      <c r="A103" s="104"/>
      <c r="B103" s="105"/>
      <c r="C103" s="105"/>
      <c r="D103" s="105"/>
      <c r="E103" s="105"/>
      <c r="F103" s="105"/>
      <c r="G103" s="105"/>
      <c r="H103" s="106"/>
    </row>
    <row r="104" ht="15.75" customHeight="1">
      <c r="A104" s="113" t="s">
        <v>279</v>
      </c>
      <c r="B104" s="27"/>
      <c r="C104" s="27"/>
      <c r="D104" s="27"/>
      <c r="E104" s="27"/>
      <c r="F104" s="27"/>
      <c r="G104" s="27"/>
      <c r="H104" s="29"/>
    </row>
    <row r="105" ht="15.75" customHeight="1">
      <c r="A105" s="130"/>
      <c r="B105" s="102"/>
      <c r="C105" s="102"/>
      <c r="D105" s="102"/>
      <c r="E105" s="102"/>
      <c r="F105" s="102"/>
      <c r="G105" s="102"/>
      <c r="H105" s="103"/>
    </row>
    <row r="106" ht="15.75" customHeight="1">
      <c r="A106" s="122"/>
      <c r="H106" s="123"/>
    </row>
    <row r="107" ht="15.75" customHeight="1">
      <c r="A107" s="122"/>
      <c r="H107" s="123"/>
    </row>
    <row r="108" ht="15.75" customHeight="1">
      <c r="A108" s="104"/>
      <c r="B108" s="105"/>
      <c r="C108" s="105"/>
      <c r="D108" s="105"/>
      <c r="E108" s="105"/>
      <c r="F108" s="105"/>
      <c r="G108" s="105"/>
      <c r="H108" s="106"/>
    </row>
    <row r="109" ht="15.75" customHeight="1"/>
    <row r="110" ht="15.75" customHeight="1"/>
    <row r="111" ht="15.75" customHeight="1">
      <c r="A111" s="111" t="s">
        <v>295</v>
      </c>
      <c r="E111" s="79" t="s">
        <v>189</v>
      </c>
      <c r="F111" s="115"/>
      <c r="G111" s="79" t="s">
        <v>274</v>
      </c>
      <c r="H111" s="115"/>
    </row>
    <row r="112" ht="15.75" customHeight="1">
      <c r="A112" s="121" t="s">
        <v>282</v>
      </c>
    </row>
    <row r="113" ht="15.75" customHeight="1">
      <c r="A113" s="97" t="s">
        <v>201</v>
      </c>
      <c r="B113" s="25"/>
      <c r="C113" s="27"/>
      <c r="D113" s="27"/>
      <c r="E113" s="27"/>
      <c r="F113" s="27"/>
      <c r="G113" s="27"/>
      <c r="H113" s="29"/>
    </row>
    <row r="114" ht="15.75" customHeight="1">
      <c r="A114" s="97" t="s">
        <v>201</v>
      </c>
      <c r="B114" s="25"/>
      <c r="C114" s="27"/>
      <c r="D114" s="27"/>
      <c r="E114" s="27"/>
      <c r="F114" s="27"/>
      <c r="G114" s="27"/>
      <c r="H114" s="29"/>
    </row>
    <row r="115" ht="15.75" customHeight="1">
      <c r="A115" s="97" t="s">
        <v>201</v>
      </c>
      <c r="B115" s="25"/>
      <c r="C115" s="27"/>
      <c r="D115" s="27"/>
      <c r="E115" s="27"/>
      <c r="F115" s="27"/>
      <c r="G115" s="27"/>
      <c r="H115" s="29"/>
    </row>
    <row r="116" ht="15.75" customHeight="1">
      <c r="A116" s="97" t="s">
        <v>276</v>
      </c>
      <c r="B116" s="25"/>
      <c r="C116" s="27"/>
      <c r="D116" s="27"/>
      <c r="E116" s="27"/>
      <c r="F116" s="27"/>
      <c r="G116" s="27"/>
      <c r="H116" s="29"/>
    </row>
    <row r="117" ht="15.75" customHeight="1">
      <c r="A117" s="113" t="s">
        <v>277</v>
      </c>
      <c r="B117" s="27"/>
      <c r="C117" s="27"/>
      <c r="D117" s="27"/>
      <c r="E117" s="27"/>
      <c r="F117" s="27"/>
      <c r="G117" s="27"/>
      <c r="H117" s="29"/>
    </row>
    <row r="118" ht="15.75" customHeight="1">
      <c r="A118" s="130"/>
      <c r="B118" s="102"/>
      <c r="C118" s="102"/>
      <c r="D118" s="102"/>
      <c r="E118" s="102"/>
      <c r="F118" s="102"/>
      <c r="G118" s="102"/>
      <c r="H118" s="103"/>
    </row>
    <row r="119" ht="15.75" customHeight="1">
      <c r="A119" s="122"/>
      <c r="H119" s="123"/>
    </row>
    <row r="120" ht="15.75" customHeight="1">
      <c r="A120" s="104"/>
      <c r="B120" s="105"/>
      <c r="C120" s="105"/>
      <c r="D120" s="105"/>
      <c r="E120" s="105"/>
      <c r="F120" s="105"/>
      <c r="G120" s="105"/>
      <c r="H120" s="106"/>
    </row>
    <row r="121" ht="15.75" customHeight="1">
      <c r="A121" s="113" t="s">
        <v>279</v>
      </c>
      <c r="B121" s="27"/>
      <c r="C121" s="27"/>
      <c r="D121" s="27"/>
      <c r="E121" s="27"/>
      <c r="F121" s="27"/>
      <c r="G121" s="27"/>
      <c r="H121" s="29"/>
    </row>
    <row r="122" ht="15.75" customHeight="1">
      <c r="A122" s="130"/>
      <c r="B122" s="102"/>
      <c r="C122" s="102"/>
      <c r="D122" s="102"/>
      <c r="E122" s="102"/>
      <c r="F122" s="102"/>
      <c r="G122" s="102"/>
      <c r="H122" s="103"/>
    </row>
    <row r="123" ht="15.75" customHeight="1">
      <c r="A123" s="122"/>
      <c r="H123" s="123"/>
    </row>
    <row r="124" ht="15.75" customHeight="1">
      <c r="A124" s="122"/>
      <c r="H124" s="123"/>
    </row>
    <row r="125" ht="15.75" customHeight="1">
      <c r="A125" s="104"/>
      <c r="B125" s="105"/>
      <c r="C125" s="105"/>
      <c r="D125" s="105"/>
      <c r="E125" s="105"/>
      <c r="F125" s="105"/>
      <c r="G125" s="105"/>
      <c r="H125" s="106"/>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7">
    <mergeCell ref="A94:D94"/>
    <mergeCell ref="B96:H96"/>
    <mergeCell ref="B97:H97"/>
    <mergeCell ref="B98:H98"/>
    <mergeCell ref="B99:H99"/>
    <mergeCell ref="A100:H100"/>
    <mergeCell ref="A101:H103"/>
    <mergeCell ref="A117:H117"/>
    <mergeCell ref="A118:H120"/>
    <mergeCell ref="A121:H121"/>
    <mergeCell ref="A122:H125"/>
    <mergeCell ref="A104:H104"/>
    <mergeCell ref="A105:H108"/>
    <mergeCell ref="A111:D111"/>
    <mergeCell ref="B113:H113"/>
    <mergeCell ref="B114:H114"/>
    <mergeCell ref="B115:H115"/>
    <mergeCell ref="B116:H116"/>
    <mergeCell ref="B2:H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s>
  <dataValidations>
    <dataValidation type="list" allowBlank="1" showErrorMessage="1" sqref="B11:B13 B28:B30 B45:B47 B62:B64 B79:B81 B96:B98 B113:B115">
      <formula1>Metadata!$I$17:$I$40</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38" t="s">
        <v>97</v>
      </c>
    </row>
    <row r="3" ht="15.75" customHeight="1"/>
    <row r="4" ht="15.75" customHeight="1">
      <c r="B4" s="12" t="s">
        <v>1</v>
      </c>
      <c r="C4" s="25" t="str">
        <f>'Diseño'!C4</f>
        <v>781 - Organización de Lenguajes y Compiladores 2</v>
      </c>
      <c r="D4" s="27"/>
      <c r="E4" s="27"/>
      <c r="F4" s="27"/>
      <c r="G4" s="29"/>
    </row>
    <row r="5" ht="15.75" customHeight="1">
      <c r="B5" s="108" t="s">
        <v>28</v>
      </c>
      <c r="C5" s="25">
        <f>H9+H26+H43+H60+H77+H94+H111+H128</f>
        <v>8</v>
      </c>
      <c r="D5" s="27"/>
      <c r="E5" s="27"/>
      <c r="F5" s="27"/>
      <c r="G5" s="29"/>
    </row>
    <row r="6" ht="15.75" customHeight="1">
      <c r="B6" s="108" t="s">
        <v>189</v>
      </c>
      <c r="C6" s="25">
        <f>F9+F26+F43+F60+F77+F94+F111+F128</f>
        <v>10</v>
      </c>
      <c r="D6" s="27"/>
      <c r="E6" s="27"/>
      <c r="F6" s="27"/>
      <c r="G6" s="29"/>
    </row>
    <row r="7" ht="15.75" customHeight="1">
      <c r="B7" s="90" t="s">
        <v>308</v>
      </c>
    </row>
    <row r="8" ht="15.75" customHeight="1"/>
    <row r="9" ht="15.75" customHeight="1">
      <c r="A9" s="111" t="s">
        <v>310</v>
      </c>
      <c r="E9" s="79" t="s">
        <v>189</v>
      </c>
      <c r="F9" s="112">
        <v>0.0</v>
      </c>
      <c r="G9" s="79" t="s">
        <v>274</v>
      </c>
      <c r="H9" s="112">
        <v>1.0</v>
      </c>
    </row>
    <row r="10" ht="15.75" customHeight="1">
      <c r="A10" s="90" t="s">
        <v>314</v>
      </c>
    </row>
    <row r="11" ht="15.75" customHeight="1">
      <c r="A11" s="97" t="s">
        <v>201</v>
      </c>
      <c r="B11" s="60" t="s">
        <v>37</v>
      </c>
      <c r="C11" s="27"/>
      <c r="D11" s="27"/>
      <c r="E11" s="27"/>
      <c r="F11" s="27"/>
      <c r="G11" s="27"/>
      <c r="H11" s="29"/>
    </row>
    <row r="12" ht="15.75" customHeight="1">
      <c r="A12" s="97" t="s">
        <v>201</v>
      </c>
      <c r="B12" s="60" t="s">
        <v>48</v>
      </c>
      <c r="C12" s="27"/>
      <c r="D12" s="27"/>
      <c r="E12" s="27"/>
      <c r="F12" s="27"/>
      <c r="G12" s="27"/>
      <c r="H12" s="29"/>
    </row>
    <row r="13" ht="15.75" customHeight="1">
      <c r="A13" s="97" t="s">
        <v>201</v>
      </c>
      <c r="B13" s="60" t="s">
        <v>253</v>
      </c>
      <c r="C13" s="27"/>
      <c r="D13" s="27"/>
      <c r="E13" s="27"/>
      <c r="F13" s="27"/>
      <c r="G13" s="27"/>
      <c r="H13" s="29"/>
    </row>
    <row r="14" ht="15.75" customHeight="1">
      <c r="A14" s="97" t="s">
        <v>276</v>
      </c>
      <c r="B14" s="60" t="s">
        <v>357</v>
      </c>
      <c r="C14" s="27"/>
      <c r="D14" s="27"/>
      <c r="E14" s="27"/>
      <c r="F14" s="27"/>
      <c r="G14" s="27"/>
      <c r="H14" s="29"/>
    </row>
    <row r="15" ht="15.75" customHeight="1">
      <c r="A15" s="113" t="s">
        <v>277</v>
      </c>
      <c r="B15" s="27"/>
      <c r="C15" s="27"/>
      <c r="D15" s="27"/>
      <c r="E15" s="27"/>
      <c r="F15" s="27"/>
      <c r="G15" s="27"/>
      <c r="H15" s="29"/>
    </row>
    <row r="16" ht="15.75" customHeight="1">
      <c r="A16" s="130"/>
      <c r="B16" s="102"/>
      <c r="C16" s="102"/>
      <c r="D16" s="102"/>
      <c r="E16" s="102"/>
      <c r="F16" s="102"/>
      <c r="G16" s="102"/>
      <c r="H16" s="103"/>
    </row>
    <row r="17" ht="15.75" customHeight="1">
      <c r="A17" s="122"/>
      <c r="H17" s="123"/>
    </row>
    <row r="18" ht="15.75" customHeight="1">
      <c r="A18" s="104"/>
      <c r="B18" s="105"/>
      <c r="C18" s="105"/>
      <c r="D18" s="105"/>
      <c r="E18" s="105"/>
      <c r="F18" s="105"/>
      <c r="G18" s="105"/>
      <c r="H18" s="106"/>
    </row>
    <row r="19" ht="15.75" customHeight="1">
      <c r="A19" s="113" t="s">
        <v>380</v>
      </c>
      <c r="B19" s="27"/>
      <c r="C19" s="27"/>
      <c r="D19" s="27"/>
      <c r="E19" s="27"/>
      <c r="F19" s="27"/>
      <c r="G19" s="27"/>
      <c r="H19" s="29"/>
    </row>
    <row r="20" ht="15.75" customHeight="1">
      <c r="A20" s="144" t="s">
        <v>385</v>
      </c>
      <c r="B20" s="102"/>
      <c r="C20" s="102"/>
      <c r="D20" s="102"/>
      <c r="E20" s="102"/>
      <c r="F20" s="102"/>
      <c r="G20" s="102"/>
      <c r="H20" s="103"/>
    </row>
    <row r="21" ht="15.75" customHeight="1">
      <c r="A21" s="122"/>
      <c r="H21" s="123"/>
    </row>
    <row r="22" ht="15.75" customHeight="1">
      <c r="A22" s="122"/>
      <c r="H22" s="123"/>
    </row>
    <row r="23" ht="15.75" customHeight="1">
      <c r="A23" s="104"/>
      <c r="B23" s="105"/>
      <c r="C23" s="105"/>
      <c r="D23" s="105"/>
      <c r="E23" s="105"/>
      <c r="F23" s="105"/>
      <c r="G23" s="105"/>
      <c r="H23" s="106"/>
    </row>
    <row r="24" ht="15.75" customHeight="1">
      <c r="A24" s="111"/>
      <c r="B24" s="111"/>
      <c r="C24" s="111"/>
      <c r="D24" s="111"/>
      <c r="E24" s="79"/>
      <c r="F24" s="145"/>
      <c r="G24" s="79"/>
      <c r="H24" s="145"/>
    </row>
    <row r="25" ht="15.75" customHeight="1">
      <c r="A25" s="111"/>
      <c r="B25" s="111"/>
      <c r="C25" s="111"/>
      <c r="D25" s="111"/>
      <c r="E25" s="79"/>
      <c r="F25" s="145"/>
      <c r="G25" s="79"/>
      <c r="H25" s="145"/>
    </row>
    <row r="26" ht="15.75" customHeight="1">
      <c r="A26" s="111" t="s">
        <v>393</v>
      </c>
      <c r="E26" s="79" t="s">
        <v>189</v>
      </c>
      <c r="F26" s="112">
        <v>2.5</v>
      </c>
      <c r="G26" s="79" t="s">
        <v>274</v>
      </c>
      <c r="H26" s="112">
        <v>1.0</v>
      </c>
    </row>
    <row r="27" ht="15.75" customHeight="1">
      <c r="A27" s="90" t="s">
        <v>275</v>
      </c>
    </row>
    <row r="28" ht="15.75" customHeight="1">
      <c r="A28" s="97" t="s">
        <v>201</v>
      </c>
      <c r="B28" s="60" t="s">
        <v>37</v>
      </c>
      <c r="C28" s="27"/>
      <c r="D28" s="27"/>
      <c r="E28" s="27"/>
      <c r="F28" s="27"/>
      <c r="G28" s="27"/>
      <c r="H28" s="29"/>
    </row>
    <row r="29" ht="15.75" customHeight="1">
      <c r="A29" s="97" t="s">
        <v>201</v>
      </c>
      <c r="B29" s="60" t="s">
        <v>48</v>
      </c>
      <c r="C29" s="27"/>
      <c r="D29" s="27"/>
      <c r="E29" s="27"/>
      <c r="F29" s="27"/>
      <c r="G29" s="27"/>
      <c r="H29" s="29"/>
    </row>
    <row r="30" ht="15.75" customHeight="1">
      <c r="A30" s="97" t="s">
        <v>201</v>
      </c>
      <c r="B30" s="60" t="s">
        <v>253</v>
      </c>
      <c r="C30" s="27"/>
      <c r="D30" s="27"/>
      <c r="E30" s="27"/>
      <c r="F30" s="27"/>
      <c r="G30" s="27"/>
      <c r="H30" s="29"/>
    </row>
    <row r="31" ht="15.75" customHeight="1">
      <c r="A31" s="97" t="s">
        <v>276</v>
      </c>
      <c r="B31" s="60" t="s">
        <v>394</v>
      </c>
      <c r="C31" s="27"/>
      <c r="D31" s="27"/>
      <c r="E31" s="27"/>
      <c r="F31" s="27"/>
      <c r="G31" s="27"/>
      <c r="H31" s="29"/>
    </row>
    <row r="32" ht="15.75" customHeight="1">
      <c r="A32" s="113" t="s">
        <v>277</v>
      </c>
      <c r="B32" s="27"/>
      <c r="C32" s="27"/>
      <c r="D32" s="27"/>
      <c r="E32" s="27"/>
      <c r="F32" s="27"/>
      <c r="G32" s="27"/>
      <c r="H32" s="29"/>
    </row>
    <row r="33" ht="15.75" customHeight="1">
      <c r="A33" s="130"/>
      <c r="B33" s="102"/>
      <c r="C33" s="102"/>
      <c r="D33" s="102"/>
      <c r="E33" s="102"/>
      <c r="F33" s="102"/>
      <c r="G33" s="102"/>
      <c r="H33" s="103"/>
    </row>
    <row r="34" ht="15.75" customHeight="1">
      <c r="A34" s="122"/>
      <c r="H34" s="123"/>
    </row>
    <row r="35" ht="15.75" customHeight="1">
      <c r="A35" s="104"/>
      <c r="B35" s="105"/>
      <c r="C35" s="105"/>
      <c r="D35" s="105"/>
      <c r="E35" s="105"/>
      <c r="F35" s="105"/>
      <c r="G35" s="105"/>
      <c r="H35" s="106"/>
    </row>
    <row r="36" ht="15.75" customHeight="1">
      <c r="A36" s="113" t="s">
        <v>279</v>
      </c>
      <c r="B36" s="27"/>
      <c r="C36" s="27"/>
      <c r="D36" s="27"/>
      <c r="E36" s="27"/>
      <c r="F36" s="27"/>
      <c r="G36" s="27"/>
      <c r="H36" s="29"/>
    </row>
    <row r="37" ht="15.75" customHeight="1">
      <c r="A37" s="143" t="s">
        <v>395</v>
      </c>
      <c r="B37" s="102"/>
      <c r="C37" s="102"/>
      <c r="D37" s="102"/>
      <c r="E37" s="102"/>
      <c r="F37" s="102"/>
      <c r="G37" s="102"/>
      <c r="H37" s="103"/>
    </row>
    <row r="38" ht="15.75" customHeight="1">
      <c r="A38" s="122"/>
      <c r="H38" s="123"/>
    </row>
    <row r="39" ht="15.75" customHeight="1">
      <c r="A39" s="122"/>
      <c r="H39" s="123"/>
    </row>
    <row r="40" ht="15.75" customHeight="1">
      <c r="A40" s="104"/>
      <c r="B40" s="105"/>
      <c r="C40" s="105"/>
      <c r="D40" s="105"/>
      <c r="E40" s="105"/>
      <c r="F40" s="105"/>
      <c r="G40" s="105"/>
      <c r="H40" s="106"/>
    </row>
    <row r="41" ht="15.75" customHeight="1"/>
    <row r="42" ht="15.75" customHeight="1"/>
    <row r="43" ht="15.75" customHeight="1">
      <c r="A43" s="111" t="s">
        <v>396</v>
      </c>
      <c r="E43" s="79" t="s">
        <v>189</v>
      </c>
      <c r="F43" s="112">
        <v>2.5</v>
      </c>
      <c r="G43" s="79" t="s">
        <v>274</v>
      </c>
      <c r="H43" s="112">
        <v>2.0</v>
      </c>
    </row>
    <row r="44" ht="15.75" customHeight="1">
      <c r="A44" s="90" t="s">
        <v>275</v>
      </c>
    </row>
    <row r="45" ht="15.75" customHeight="1">
      <c r="A45" s="97" t="s">
        <v>201</v>
      </c>
      <c r="B45" s="60" t="s">
        <v>37</v>
      </c>
      <c r="C45" s="27"/>
      <c r="D45" s="27"/>
      <c r="E45" s="27"/>
      <c r="F45" s="27"/>
      <c r="G45" s="27"/>
      <c r="H45" s="29"/>
    </row>
    <row r="46" ht="15.75" customHeight="1">
      <c r="A46" s="97" t="s">
        <v>201</v>
      </c>
      <c r="B46" s="60" t="s">
        <v>48</v>
      </c>
      <c r="C46" s="27"/>
      <c r="D46" s="27"/>
      <c r="E46" s="27"/>
      <c r="F46" s="27"/>
      <c r="G46" s="27"/>
      <c r="H46" s="29"/>
    </row>
    <row r="47" ht="15.75" customHeight="1">
      <c r="A47" s="97" t="s">
        <v>201</v>
      </c>
      <c r="B47" s="60" t="s">
        <v>253</v>
      </c>
      <c r="C47" s="27"/>
      <c r="D47" s="27"/>
      <c r="E47" s="27"/>
      <c r="F47" s="27"/>
      <c r="G47" s="27"/>
      <c r="H47" s="29"/>
    </row>
    <row r="48" ht="15.75" customHeight="1">
      <c r="A48" s="97" t="s">
        <v>276</v>
      </c>
      <c r="B48" s="60" t="s">
        <v>397</v>
      </c>
      <c r="C48" s="27"/>
      <c r="D48" s="27"/>
      <c r="E48" s="27"/>
      <c r="F48" s="27"/>
      <c r="G48" s="27"/>
      <c r="H48" s="29"/>
    </row>
    <row r="49" ht="15.75" customHeight="1">
      <c r="A49" s="113" t="s">
        <v>277</v>
      </c>
      <c r="B49" s="27"/>
      <c r="C49" s="27"/>
      <c r="D49" s="27"/>
      <c r="E49" s="27"/>
      <c r="F49" s="27"/>
      <c r="G49" s="27"/>
      <c r="H49" s="29"/>
    </row>
    <row r="50" ht="15.75" customHeight="1">
      <c r="A50" s="130"/>
      <c r="B50" s="102"/>
      <c r="C50" s="102"/>
      <c r="D50" s="102"/>
      <c r="E50" s="102"/>
      <c r="F50" s="102"/>
      <c r="G50" s="102"/>
      <c r="H50" s="103"/>
    </row>
    <row r="51" ht="15.75" customHeight="1">
      <c r="A51" s="122"/>
      <c r="H51" s="123"/>
    </row>
    <row r="52" ht="15.75" customHeight="1">
      <c r="A52" s="104"/>
      <c r="B52" s="105"/>
      <c r="C52" s="105"/>
      <c r="D52" s="105"/>
      <c r="E52" s="105"/>
      <c r="F52" s="105"/>
      <c r="G52" s="105"/>
      <c r="H52" s="106"/>
    </row>
    <row r="53" ht="15.75" customHeight="1">
      <c r="A53" s="113" t="s">
        <v>279</v>
      </c>
      <c r="B53" s="27"/>
      <c r="C53" s="27"/>
      <c r="D53" s="27"/>
      <c r="E53" s="27"/>
      <c r="F53" s="27"/>
      <c r="G53" s="27"/>
      <c r="H53" s="29"/>
    </row>
    <row r="54" ht="15.75" customHeight="1">
      <c r="A54" s="143" t="s">
        <v>398</v>
      </c>
      <c r="B54" s="102"/>
      <c r="C54" s="102"/>
      <c r="D54" s="102"/>
      <c r="E54" s="102"/>
      <c r="F54" s="102"/>
      <c r="G54" s="102"/>
      <c r="H54" s="103"/>
    </row>
    <row r="55" ht="15.75" customHeight="1">
      <c r="A55" s="122"/>
      <c r="H55" s="123"/>
    </row>
    <row r="56" ht="15.75" customHeight="1">
      <c r="A56" s="122"/>
      <c r="H56" s="123"/>
    </row>
    <row r="57" ht="15.75" customHeight="1">
      <c r="A57" s="104"/>
      <c r="B57" s="105"/>
      <c r="C57" s="105"/>
      <c r="D57" s="105"/>
      <c r="E57" s="105"/>
      <c r="F57" s="105"/>
      <c r="G57" s="105"/>
      <c r="H57" s="106"/>
    </row>
    <row r="58" ht="15.75" customHeight="1"/>
    <row r="59" ht="15.75" customHeight="1"/>
    <row r="60" ht="15.75" customHeight="1">
      <c r="A60" s="111" t="s">
        <v>399</v>
      </c>
      <c r="E60" s="79" t="s">
        <v>189</v>
      </c>
      <c r="F60" s="112">
        <v>2.5</v>
      </c>
      <c r="G60" s="79" t="s">
        <v>274</v>
      </c>
      <c r="H60" s="112">
        <v>2.0</v>
      </c>
    </row>
    <row r="61" ht="15.75" customHeight="1">
      <c r="A61" s="121" t="s">
        <v>282</v>
      </c>
    </row>
    <row r="62" ht="15.75" customHeight="1">
      <c r="A62" s="97" t="s">
        <v>201</v>
      </c>
      <c r="B62" s="60" t="s">
        <v>37</v>
      </c>
      <c r="C62" s="27"/>
      <c r="D62" s="27"/>
      <c r="E62" s="27"/>
      <c r="F62" s="27"/>
      <c r="G62" s="27"/>
      <c r="H62" s="29"/>
    </row>
    <row r="63" ht="15.75" customHeight="1">
      <c r="A63" s="97" t="s">
        <v>201</v>
      </c>
      <c r="B63" s="60" t="s">
        <v>48</v>
      </c>
      <c r="C63" s="27"/>
      <c r="D63" s="27"/>
      <c r="E63" s="27"/>
      <c r="F63" s="27"/>
      <c r="G63" s="27"/>
      <c r="H63" s="29"/>
    </row>
    <row r="64" ht="15.75" customHeight="1">
      <c r="A64" s="97" t="s">
        <v>201</v>
      </c>
      <c r="B64" s="60" t="s">
        <v>253</v>
      </c>
      <c r="C64" s="27"/>
      <c r="D64" s="27"/>
      <c r="E64" s="27"/>
      <c r="F64" s="27"/>
      <c r="G64" s="27"/>
      <c r="H64" s="29"/>
    </row>
    <row r="65" ht="15.75" customHeight="1">
      <c r="A65" s="97" t="s">
        <v>276</v>
      </c>
      <c r="B65" s="60" t="s">
        <v>400</v>
      </c>
      <c r="C65" s="27"/>
      <c r="D65" s="27"/>
      <c r="E65" s="27"/>
      <c r="F65" s="27"/>
      <c r="G65" s="27"/>
      <c r="H65" s="29"/>
    </row>
    <row r="66" ht="15.75" customHeight="1">
      <c r="A66" s="113" t="s">
        <v>277</v>
      </c>
      <c r="B66" s="27"/>
      <c r="C66" s="27"/>
      <c r="D66" s="27"/>
      <c r="E66" s="27"/>
      <c r="F66" s="27"/>
      <c r="G66" s="27"/>
      <c r="H66" s="29"/>
    </row>
    <row r="67" ht="15.75" customHeight="1">
      <c r="A67" s="130"/>
      <c r="B67" s="102"/>
      <c r="C67" s="102"/>
      <c r="D67" s="102"/>
      <c r="E67" s="102"/>
      <c r="F67" s="102"/>
      <c r="G67" s="102"/>
      <c r="H67" s="103"/>
    </row>
    <row r="68" ht="15.75" customHeight="1">
      <c r="A68" s="122"/>
      <c r="H68" s="123"/>
    </row>
    <row r="69" ht="15.75" customHeight="1">
      <c r="A69" s="104"/>
      <c r="B69" s="105"/>
      <c r="C69" s="105"/>
      <c r="D69" s="105"/>
      <c r="E69" s="105"/>
      <c r="F69" s="105"/>
      <c r="G69" s="105"/>
      <c r="H69" s="106"/>
    </row>
    <row r="70" ht="15.75" customHeight="1">
      <c r="A70" s="113" t="s">
        <v>279</v>
      </c>
      <c r="B70" s="27"/>
      <c r="C70" s="27"/>
      <c r="D70" s="27"/>
      <c r="E70" s="27"/>
      <c r="F70" s="27"/>
      <c r="G70" s="27"/>
      <c r="H70" s="29"/>
    </row>
    <row r="71" ht="15.75" customHeight="1">
      <c r="A71" s="143" t="s">
        <v>401</v>
      </c>
      <c r="B71" s="102"/>
      <c r="C71" s="102"/>
      <c r="D71" s="102"/>
      <c r="E71" s="102"/>
      <c r="F71" s="102"/>
      <c r="G71" s="102"/>
      <c r="H71" s="103"/>
    </row>
    <row r="72" ht="15.75" customHeight="1">
      <c r="A72" s="122"/>
      <c r="H72" s="123"/>
    </row>
    <row r="73" ht="15.75" customHeight="1">
      <c r="A73" s="122"/>
      <c r="H73" s="123"/>
    </row>
    <row r="74" ht="15.75" customHeight="1">
      <c r="A74" s="104"/>
      <c r="B74" s="105"/>
      <c r="C74" s="105"/>
      <c r="D74" s="105"/>
      <c r="E74" s="105"/>
      <c r="F74" s="105"/>
      <c r="G74" s="105"/>
      <c r="H74" s="106"/>
    </row>
    <row r="75" ht="15.75" customHeight="1"/>
    <row r="76" ht="15.75" customHeight="1"/>
    <row r="77" ht="15.75" customHeight="1">
      <c r="A77" s="111" t="s">
        <v>402</v>
      </c>
      <c r="E77" s="79" t="s">
        <v>189</v>
      </c>
      <c r="F77" s="112">
        <v>2.5</v>
      </c>
      <c r="G77" s="79" t="s">
        <v>274</v>
      </c>
      <c r="H77" s="112">
        <v>2.0</v>
      </c>
    </row>
    <row r="78" ht="15.75" customHeight="1">
      <c r="A78" s="121" t="s">
        <v>282</v>
      </c>
    </row>
    <row r="79" ht="15.75" customHeight="1">
      <c r="A79" s="97" t="s">
        <v>201</v>
      </c>
      <c r="B79" s="60" t="s">
        <v>37</v>
      </c>
      <c r="C79" s="27"/>
      <c r="D79" s="27"/>
      <c r="E79" s="27"/>
      <c r="F79" s="27"/>
      <c r="G79" s="27"/>
      <c r="H79" s="29"/>
    </row>
    <row r="80" ht="15.75" customHeight="1">
      <c r="A80" s="97" t="s">
        <v>201</v>
      </c>
      <c r="B80" s="60" t="s">
        <v>48</v>
      </c>
      <c r="C80" s="27"/>
      <c r="D80" s="27"/>
      <c r="E80" s="27"/>
      <c r="F80" s="27"/>
      <c r="G80" s="27"/>
      <c r="H80" s="29"/>
    </row>
    <row r="81" ht="15.75" customHeight="1">
      <c r="A81" s="97" t="s">
        <v>201</v>
      </c>
      <c r="B81" s="60" t="s">
        <v>253</v>
      </c>
      <c r="C81" s="27"/>
      <c r="D81" s="27"/>
      <c r="E81" s="27"/>
      <c r="F81" s="27"/>
      <c r="G81" s="27"/>
      <c r="H81" s="29"/>
    </row>
    <row r="82" ht="15.75" customHeight="1">
      <c r="A82" s="97" t="s">
        <v>276</v>
      </c>
      <c r="B82" s="60" t="s">
        <v>403</v>
      </c>
      <c r="C82" s="27"/>
      <c r="D82" s="27"/>
      <c r="E82" s="27"/>
      <c r="F82" s="27"/>
      <c r="G82" s="27"/>
      <c r="H82" s="29"/>
    </row>
    <row r="83" ht="15.75" customHeight="1">
      <c r="A83" s="113" t="s">
        <v>277</v>
      </c>
      <c r="B83" s="27"/>
      <c r="C83" s="27"/>
      <c r="D83" s="27"/>
      <c r="E83" s="27"/>
      <c r="F83" s="27"/>
      <c r="G83" s="27"/>
      <c r="H83" s="29"/>
    </row>
    <row r="84" ht="15.75" customHeight="1">
      <c r="A84" s="130"/>
      <c r="B84" s="102"/>
      <c r="C84" s="102"/>
      <c r="D84" s="102"/>
      <c r="E84" s="102"/>
      <c r="F84" s="102"/>
      <c r="G84" s="102"/>
      <c r="H84" s="103"/>
    </row>
    <row r="85" ht="15.75" customHeight="1">
      <c r="A85" s="122"/>
      <c r="H85" s="123"/>
    </row>
    <row r="86" ht="15.75" customHeight="1">
      <c r="A86" s="104"/>
      <c r="B86" s="105"/>
      <c r="C86" s="105"/>
      <c r="D86" s="105"/>
      <c r="E86" s="105"/>
      <c r="F86" s="105"/>
      <c r="G86" s="105"/>
      <c r="H86" s="106"/>
    </row>
    <row r="87" ht="15.75" customHeight="1">
      <c r="A87" s="113" t="s">
        <v>279</v>
      </c>
      <c r="B87" s="27"/>
      <c r="C87" s="27"/>
      <c r="D87" s="27"/>
      <c r="E87" s="27"/>
      <c r="F87" s="27"/>
      <c r="G87" s="27"/>
      <c r="H87" s="29"/>
    </row>
    <row r="88" ht="15.75" customHeight="1">
      <c r="A88" s="143" t="s">
        <v>404</v>
      </c>
      <c r="B88" s="102"/>
      <c r="C88" s="102"/>
      <c r="D88" s="102"/>
      <c r="E88" s="102"/>
      <c r="F88" s="102"/>
      <c r="G88" s="102"/>
      <c r="H88" s="103"/>
    </row>
    <row r="89" ht="15.75" customHeight="1">
      <c r="A89" s="122"/>
      <c r="H89" s="123"/>
    </row>
    <row r="90" ht="15.75" customHeight="1">
      <c r="A90" s="122"/>
      <c r="H90" s="123"/>
    </row>
    <row r="91" ht="15.75" customHeight="1">
      <c r="A91" s="104"/>
      <c r="B91" s="105"/>
      <c r="C91" s="105"/>
      <c r="D91" s="105"/>
      <c r="E91" s="105"/>
      <c r="F91" s="105"/>
      <c r="G91" s="105"/>
      <c r="H91" s="106"/>
    </row>
    <row r="92" ht="15.75" customHeight="1"/>
    <row r="93" ht="15.75" customHeight="1"/>
    <row r="94" ht="15.75" customHeight="1">
      <c r="A94" s="111" t="s">
        <v>405</v>
      </c>
      <c r="E94" s="79" t="s">
        <v>189</v>
      </c>
      <c r="F94" s="115"/>
      <c r="G94" s="79" t="s">
        <v>274</v>
      </c>
      <c r="H94" s="115"/>
    </row>
    <row r="95" ht="15.75" customHeight="1">
      <c r="A95" s="121" t="s">
        <v>282</v>
      </c>
    </row>
    <row r="96" ht="15.75" customHeight="1">
      <c r="A96" s="97" t="s">
        <v>201</v>
      </c>
      <c r="B96" s="25"/>
      <c r="C96" s="27"/>
      <c r="D96" s="27"/>
      <c r="E96" s="27"/>
      <c r="F96" s="27"/>
      <c r="G96" s="27"/>
      <c r="H96" s="29"/>
    </row>
    <row r="97" ht="15.75" customHeight="1">
      <c r="A97" s="97" t="s">
        <v>201</v>
      </c>
      <c r="B97" s="25"/>
      <c r="C97" s="27"/>
      <c r="D97" s="27"/>
      <c r="E97" s="27"/>
      <c r="F97" s="27"/>
      <c r="G97" s="27"/>
      <c r="H97" s="29"/>
    </row>
    <row r="98" ht="15.75" customHeight="1">
      <c r="A98" s="97" t="s">
        <v>201</v>
      </c>
      <c r="B98" s="25"/>
      <c r="C98" s="27"/>
      <c r="D98" s="27"/>
      <c r="E98" s="27"/>
      <c r="F98" s="27"/>
      <c r="G98" s="27"/>
      <c r="H98" s="29"/>
    </row>
    <row r="99" ht="15.75" customHeight="1">
      <c r="A99" s="97" t="s">
        <v>276</v>
      </c>
      <c r="B99" s="25"/>
      <c r="C99" s="27"/>
      <c r="D99" s="27"/>
      <c r="E99" s="27"/>
      <c r="F99" s="27"/>
      <c r="G99" s="27"/>
      <c r="H99" s="29"/>
    </row>
    <row r="100" ht="15.75" customHeight="1">
      <c r="A100" s="113" t="s">
        <v>277</v>
      </c>
      <c r="B100" s="27"/>
      <c r="C100" s="27"/>
      <c r="D100" s="27"/>
      <c r="E100" s="27"/>
      <c r="F100" s="27"/>
      <c r="G100" s="27"/>
      <c r="H100" s="29"/>
    </row>
    <row r="101" ht="15.75" customHeight="1">
      <c r="A101" s="130"/>
      <c r="B101" s="102"/>
      <c r="C101" s="102"/>
      <c r="D101" s="102"/>
      <c r="E101" s="102"/>
      <c r="F101" s="102"/>
      <c r="G101" s="102"/>
      <c r="H101" s="103"/>
    </row>
    <row r="102" ht="15.75" customHeight="1">
      <c r="A102" s="122"/>
      <c r="H102" s="123"/>
    </row>
    <row r="103" ht="15.75" customHeight="1">
      <c r="A103" s="104"/>
      <c r="B103" s="105"/>
      <c r="C103" s="105"/>
      <c r="D103" s="105"/>
      <c r="E103" s="105"/>
      <c r="F103" s="105"/>
      <c r="G103" s="105"/>
      <c r="H103" s="106"/>
    </row>
    <row r="104" ht="15.75" customHeight="1">
      <c r="A104" s="113" t="s">
        <v>279</v>
      </c>
      <c r="B104" s="27"/>
      <c r="C104" s="27"/>
      <c r="D104" s="27"/>
      <c r="E104" s="27"/>
      <c r="F104" s="27"/>
      <c r="G104" s="27"/>
      <c r="H104" s="29"/>
    </row>
    <row r="105" ht="15.75" customHeight="1">
      <c r="A105" s="130"/>
      <c r="B105" s="102"/>
      <c r="C105" s="102"/>
      <c r="D105" s="102"/>
      <c r="E105" s="102"/>
      <c r="F105" s="102"/>
      <c r="G105" s="102"/>
      <c r="H105" s="103"/>
    </row>
    <row r="106" ht="15.75" customHeight="1">
      <c r="A106" s="122"/>
      <c r="H106" s="123"/>
    </row>
    <row r="107" ht="15.75" customHeight="1">
      <c r="A107" s="122"/>
      <c r="H107" s="123"/>
    </row>
    <row r="108" ht="15.75" customHeight="1">
      <c r="A108" s="104"/>
      <c r="B108" s="105"/>
      <c r="C108" s="105"/>
      <c r="D108" s="105"/>
      <c r="E108" s="105"/>
      <c r="F108" s="105"/>
      <c r="G108" s="105"/>
      <c r="H108" s="106"/>
    </row>
    <row r="109" ht="15.75" customHeight="1"/>
    <row r="110" ht="15.75" customHeight="1"/>
    <row r="111" ht="15.75" customHeight="1">
      <c r="A111" s="111" t="s">
        <v>406</v>
      </c>
      <c r="E111" s="79" t="s">
        <v>189</v>
      </c>
      <c r="F111" s="115"/>
      <c r="G111" s="79" t="s">
        <v>274</v>
      </c>
      <c r="H111" s="115"/>
    </row>
    <row r="112" ht="15.75" customHeight="1">
      <c r="A112" s="121" t="s">
        <v>282</v>
      </c>
    </row>
    <row r="113" ht="15.75" customHeight="1">
      <c r="A113" s="97" t="s">
        <v>201</v>
      </c>
      <c r="B113" s="25"/>
      <c r="C113" s="27"/>
      <c r="D113" s="27"/>
      <c r="E113" s="27"/>
      <c r="F113" s="27"/>
      <c r="G113" s="27"/>
      <c r="H113" s="29"/>
    </row>
    <row r="114" ht="15.75" customHeight="1">
      <c r="A114" s="97" t="s">
        <v>201</v>
      </c>
      <c r="B114" s="25"/>
      <c r="C114" s="27"/>
      <c r="D114" s="27"/>
      <c r="E114" s="27"/>
      <c r="F114" s="27"/>
      <c r="G114" s="27"/>
      <c r="H114" s="29"/>
    </row>
    <row r="115" ht="15.75" customHeight="1">
      <c r="A115" s="97" t="s">
        <v>201</v>
      </c>
      <c r="B115" s="25"/>
      <c r="C115" s="27"/>
      <c r="D115" s="27"/>
      <c r="E115" s="27"/>
      <c r="F115" s="27"/>
      <c r="G115" s="27"/>
      <c r="H115" s="29"/>
    </row>
    <row r="116" ht="15.75" customHeight="1">
      <c r="A116" s="97" t="s">
        <v>276</v>
      </c>
      <c r="B116" s="25"/>
      <c r="C116" s="27"/>
      <c r="D116" s="27"/>
      <c r="E116" s="27"/>
      <c r="F116" s="27"/>
      <c r="G116" s="27"/>
      <c r="H116" s="29"/>
    </row>
    <row r="117" ht="15.75" customHeight="1">
      <c r="A117" s="113" t="s">
        <v>277</v>
      </c>
      <c r="B117" s="27"/>
      <c r="C117" s="27"/>
      <c r="D117" s="27"/>
      <c r="E117" s="27"/>
      <c r="F117" s="27"/>
      <c r="G117" s="27"/>
      <c r="H117" s="29"/>
    </row>
    <row r="118" ht="15.75" customHeight="1">
      <c r="A118" s="130"/>
      <c r="B118" s="102"/>
      <c r="C118" s="102"/>
      <c r="D118" s="102"/>
      <c r="E118" s="102"/>
      <c r="F118" s="102"/>
      <c r="G118" s="102"/>
      <c r="H118" s="103"/>
    </row>
    <row r="119" ht="15.75" customHeight="1">
      <c r="A119" s="122"/>
      <c r="H119" s="123"/>
    </row>
    <row r="120" ht="15.75" customHeight="1">
      <c r="A120" s="104"/>
      <c r="B120" s="105"/>
      <c r="C120" s="105"/>
      <c r="D120" s="105"/>
      <c r="E120" s="105"/>
      <c r="F120" s="105"/>
      <c r="G120" s="105"/>
      <c r="H120" s="106"/>
    </row>
    <row r="121" ht="15.75" customHeight="1">
      <c r="A121" s="113" t="s">
        <v>279</v>
      </c>
      <c r="B121" s="27"/>
      <c r="C121" s="27"/>
      <c r="D121" s="27"/>
      <c r="E121" s="27"/>
      <c r="F121" s="27"/>
      <c r="G121" s="27"/>
      <c r="H121" s="29"/>
    </row>
    <row r="122" ht="15.75" customHeight="1">
      <c r="A122" s="130"/>
      <c r="B122" s="102"/>
      <c r="C122" s="102"/>
      <c r="D122" s="102"/>
      <c r="E122" s="102"/>
      <c r="F122" s="102"/>
      <c r="G122" s="102"/>
      <c r="H122" s="103"/>
    </row>
    <row r="123" ht="15.75" customHeight="1">
      <c r="A123" s="122"/>
      <c r="H123" s="123"/>
    </row>
    <row r="124" ht="15.75" customHeight="1">
      <c r="A124" s="122"/>
      <c r="H124" s="123"/>
    </row>
    <row r="125" ht="15.75" customHeight="1">
      <c r="A125" s="104"/>
      <c r="B125" s="105"/>
      <c r="C125" s="105"/>
      <c r="D125" s="105"/>
      <c r="E125" s="105"/>
      <c r="F125" s="105"/>
      <c r="G125" s="105"/>
      <c r="H125" s="106"/>
    </row>
    <row r="126" ht="15.75" customHeight="1"/>
    <row r="127" ht="15.75" customHeight="1"/>
    <row r="128" ht="15.75" customHeight="1">
      <c r="A128" s="111" t="s">
        <v>407</v>
      </c>
      <c r="E128" s="79" t="s">
        <v>189</v>
      </c>
      <c r="F128" s="115"/>
      <c r="G128" s="79" t="s">
        <v>274</v>
      </c>
      <c r="H128" s="115"/>
    </row>
    <row r="129" ht="15.75" customHeight="1">
      <c r="A129" s="121" t="s">
        <v>282</v>
      </c>
    </row>
    <row r="130" ht="15.75" customHeight="1">
      <c r="A130" s="97" t="s">
        <v>201</v>
      </c>
      <c r="B130" s="25"/>
      <c r="C130" s="27"/>
      <c r="D130" s="27"/>
      <c r="E130" s="27"/>
      <c r="F130" s="27"/>
      <c r="G130" s="27"/>
      <c r="H130" s="29"/>
    </row>
    <row r="131" ht="15.75" customHeight="1">
      <c r="A131" s="97" t="s">
        <v>201</v>
      </c>
      <c r="B131" s="25"/>
      <c r="C131" s="27"/>
      <c r="D131" s="27"/>
      <c r="E131" s="27"/>
      <c r="F131" s="27"/>
      <c r="G131" s="27"/>
      <c r="H131" s="29"/>
    </row>
    <row r="132" ht="15.75" customHeight="1">
      <c r="A132" s="97" t="s">
        <v>201</v>
      </c>
      <c r="B132" s="25"/>
      <c r="C132" s="27"/>
      <c r="D132" s="27"/>
      <c r="E132" s="27"/>
      <c r="F132" s="27"/>
      <c r="G132" s="27"/>
      <c r="H132" s="29"/>
    </row>
    <row r="133" ht="15.75" customHeight="1">
      <c r="A133" s="97" t="s">
        <v>276</v>
      </c>
      <c r="B133" s="25"/>
      <c r="C133" s="27"/>
      <c r="D133" s="27"/>
      <c r="E133" s="27"/>
      <c r="F133" s="27"/>
      <c r="G133" s="27"/>
      <c r="H133" s="29"/>
    </row>
    <row r="134" ht="15.75" customHeight="1">
      <c r="A134" s="113" t="s">
        <v>277</v>
      </c>
      <c r="B134" s="27"/>
      <c r="C134" s="27"/>
      <c r="D134" s="27"/>
      <c r="E134" s="27"/>
      <c r="F134" s="27"/>
      <c r="G134" s="27"/>
      <c r="H134" s="29"/>
    </row>
    <row r="135" ht="15.75" customHeight="1">
      <c r="A135" s="130"/>
      <c r="B135" s="102"/>
      <c r="C135" s="102"/>
      <c r="D135" s="102"/>
      <c r="E135" s="102"/>
      <c r="F135" s="102"/>
      <c r="G135" s="102"/>
      <c r="H135" s="103"/>
    </row>
    <row r="136" ht="15.75" customHeight="1">
      <c r="A136" s="122"/>
      <c r="H136" s="123"/>
    </row>
    <row r="137" ht="15.75" customHeight="1">
      <c r="A137" s="104"/>
      <c r="B137" s="105"/>
      <c r="C137" s="105"/>
      <c r="D137" s="105"/>
      <c r="E137" s="105"/>
      <c r="F137" s="105"/>
      <c r="G137" s="105"/>
      <c r="H137" s="106"/>
    </row>
    <row r="138" ht="15.75" customHeight="1">
      <c r="A138" s="113" t="s">
        <v>279</v>
      </c>
      <c r="B138" s="27"/>
      <c r="C138" s="27"/>
      <c r="D138" s="27"/>
      <c r="E138" s="27"/>
      <c r="F138" s="27"/>
      <c r="G138" s="27"/>
      <c r="H138" s="29"/>
    </row>
    <row r="139" ht="15.75" customHeight="1">
      <c r="A139" s="130"/>
      <c r="B139" s="102"/>
      <c r="C139" s="102"/>
      <c r="D139" s="102"/>
      <c r="E139" s="102"/>
      <c r="F139" s="102"/>
      <c r="G139" s="102"/>
      <c r="H139" s="103"/>
    </row>
    <row r="140" ht="15.75" customHeight="1">
      <c r="A140" s="122"/>
      <c r="H140" s="123"/>
    </row>
    <row r="141" ht="15.75" customHeight="1">
      <c r="A141" s="122"/>
      <c r="H141" s="123"/>
    </row>
    <row r="142" ht="15.75" customHeight="1">
      <c r="A142" s="104"/>
      <c r="B142" s="105"/>
      <c r="C142" s="105"/>
      <c r="D142" s="105"/>
      <c r="E142" s="105"/>
      <c r="F142" s="105"/>
      <c r="G142" s="105"/>
      <c r="H142" s="106"/>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sheetData>
  <mergeCells count="76">
    <mergeCell ref="A94:D94"/>
    <mergeCell ref="B96:H96"/>
    <mergeCell ref="B97:H97"/>
    <mergeCell ref="B98:H98"/>
    <mergeCell ref="B99:H99"/>
    <mergeCell ref="A100:H100"/>
    <mergeCell ref="A101:H103"/>
    <mergeCell ref="A104:H104"/>
    <mergeCell ref="A105:H108"/>
    <mergeCell ref="A111:D111"/>
    <mergeCell ref="B113:H113"/>
    <mergeCell ref="B114:H114"/>
    <mergeCell ref="B115:H115"/>
    <mergeCell ref="B116:H116"/>
    <mergeCell ref="B132:H132"/>
    <mergeCell ref="B133:H133"/>
    <mergeCell ref="A134:H134"/>
    <mergeCell ref="A135:H137"/>
    <mergeCell ref="A138:H138"/>
    <mergeCell ref="A139:H142"/>
    <mergeCell ref="A117:H117"/>
    <mergeCell ref="A118:H120"/>
    <mergeCell ref="A121:H121"/>
    <mergeCell ref="A122:H125"/>
    <mergeCell ref="A128:D128"/>
    <mergeCell ref="B130:H130"/>
    <mergeCell ref="B131:H131"/>
    <mergeCell ref="B2:H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s>
  <dataValidations>
    <dataValidation type="list" allowBlank="1" showErrorMessage="1" sqref="B96:B98 B113:B115 B130:B132">
      <formula1>Metadata!$I$17:$I$40</formula1>
    </dataValidation>
    <dataValidation type="list" allowBlank="1" showErrorMessage="1" sqref="B11:B13 B28:B30 B45:B47 B62:B64 B79:B81">
      <formula1>Metadata!$B$2:$B$40</formula1>
    </dataValidation>
  </dataValidation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63"/>
    <col customWidth="1" min="2" max="2" width="49.63"/>
    <col customWidth="1" min="3" max="3" width="58.75"/>
    <col customWidth="1" min="4" max="4" width="58.38"/>
  </cols>
  <sheetData>
    <row r="1">
      <c r="A1" s="16" t="s">
        <v>296</v>
      </c>
      <c r="B1" s="16" t="s">
        <v>297</v>
      </c>
      <c r="C1" s="16" t="s">
        <v>15</v>
      </c>
      <c r="D1" s="16" t="s">
        <v>27</v>
      </c>
    </row>
    <row r="2">
      <c r="A2" s="16" t="s">
        <v>298</v>
      </c>
      <c r="B2" s="16" t="str">
        <f>Competencias!C13</f>
        <v>Identifica motivaciones y estructura esencial de un compilador mediante un repaso práctico de análisis sintáctico para establecer las bases teóricas del curso </v>
      </c>
      <c r="C2" s="1" t="s">
        <v>299</v>
      </c>
      <c r="D2" s="1" t="s">
        <v>41</v>
      </c>
    </row>
    <row r="3">
      <c r="A3" s="16" t="s">
        <v>300</v>
      </c>
      <c r="B3" s="16" t="str">
        <f>Competencias!C15</f>
        <v>Analiza estructuras de lenguaje mediante la aplicación de reglas formales para la generación de gramáticas </v>
      </c>
      <c r="C3" s="1" t="s">
        <v>301</v>
      </c>
      <c r="D3" s="1" t="s">
        <v>53</v>
      </c>
    </row>
    <row r="4">
      <c r="A4" s="16" t="s">
        <v>302</v>
      </c>
      <c r="B4" s="16" t="str">
        <f>Competencias!C17</f>
        <v>Analiza la semántica de un lenguaje de programación mediante la validación de tipos, alcance y estructuras de control para determinar la corrección de expresiones y sentencias </v>
      </c>
      <c r="C4" s="1" t="s">
        <v>31</v>
      </c>
      <c r="D4" s="1" t="s">
        <v>303</v>
      </c>
    </row>
    <row r="5">
      <c r="A5" s="16" t="s">
        <v>304</v>
      </c>
      <c r="B5" s="16" t="str">
        <f>Competencias!C19</f>
        <v>Evalua la representacion semantica de funciones y objetos mediante el análisis de alcance, tipos y tabla de simbolos para determinar su correcta representación en interpretes y compiladores </v>
      </c>
      <c r="C5" s="1" t="s">
        <v>56</v>
      </c>
      <c r="D5" s="1" t="s">
        <v>305</v>
      </c>
    </row>
    <row r="6">
      <c r="A6" s="16" t="s">
        <v>306</v>
      </c>
      <c r="B6" s="16" t="str">
        <f>Competencias!C21</f>
        <v>Analiza las equivalencias sintácticas y semánticas de un lenguaje de alto nivel mediante el mapeo de construcciones a instrucciones de Representación Intermedia tales como C3D, cuádruplas o Bytecode. </v>
      </c>
      <c r="C6" s="1" t="s">
        <v>46</v>
      </c>
      <c r="D6" s="1" t="s">
        <v>307</v>
      </c>
    </row>
    <row r="7">
      <c r="A7" s="16" t="s">
        <v>309</v>
      </c>
      <c r="B7" s="16" t="str">
        <f>Competencias!C23</f>
        <v>Generar un intérprete utilizando herramientas generadoras de parser en un lenguaje dado realizando el análisis semántico durante la ejecución. </v>
      </c>
      <c r="C7" s="1" t="s">
        <v>311</v>
      </c>
      <c r="D7" s="1" t="s">
        <v>312</v>
      </c>
    </row>
    <row r="8">
      <c r="A8" s="16" t="s">
        <v>313</v>
      </c>
      <c r="B8" s="16" t="str">
        <f>Competencias!C25</f>
        <v>Generar un compilador utilizando como representación intermedia lenguajes ensambladores como RISC-V o Aarch64 </v>
      </c>
      <c r="C8" s="1" t="s">
        <v>315</v>
      </c>
      <c r="D8" s="1" t="s">
        <v>59</v>
      </c>
    </row>
    <row r="9">
      <c r="A9" s="16" t="s">
        <v>316</v>
      </c>
      <c r="C9" s="1" t="s">
        <v>317</v>
      </c>
    </row>
    <row r="10">
      <c r="A10" s="16" t="s">
        <v>318</v>
      </c>
      <c r="C10" s="1" t="s">
        <v>319</v>
      </c>
    </row>
    <row r="11">
      <c r="A11" s="16" t="s">
        <v>320</v>
      </c>
    </row>
    <row r="12">
      <c r="A12" s="16" t="s">
        <v>321</v>
      </c>
    </row>
    <row r="13">
      <c r="A13" s="16" t="s">
        <v>322</v>
      </c>
    </row>
    <row r="14">
      <c r="A14" s="16" t="s">
        <v>323</v>
      </c>
    </row>
    <row r="15">
      <c r="A15" s="16" t="s">
        <v>324</v>
      </c>
    </row>
    <row r="16">
      <c r="A16" s="16" t="s">
        <v>325</v>
      </c>
    </row>
    <row r="17">
      <c r="A17" s="16" t="s">
        <v>326</v>
      </c>
    </row>
    <row r="18">
      <c r="A18" s="16" t="s">
        <v>327</v>
      </c>
    </row>
    <row r="19">
      <c r="A19" s="16" t="s">
        <v>328</v>
      </c>
    </row>
    <row r="20">
      <c r="A20" s="16" t="s">
        <v>329</v>
      </c>
    </row>
    <row r="21">
      <c r="A21" s="16" t="s">
        <v>330</v>
      </c>
    </row>
    <row r="22">
      <c r="A22" s="16" t="s">
        <v>331</v>
      </c>
    </row>
    <row r="23">
      <c r="A23" s="16" t="s">
        <v>332</v>
      </c>
    </row>
    <row r="24">
      <c r="A24" s="16" t="s">
        <v>333</v>
      </c>
    </row>
    <row r="25">
      <c r="A25" s="16" t="s">
        <v>334</v>
      </c>
    </row>
    <row r="26">
      <c r="A26" s="16" t="s">
        <v>335</v>
      </c>
    </row>
    <row r="27">
      <c r="A27" s="16" t="s">
        <v>336</v>
      </c>
    </row>
    <row r="28">
      <c r="A28" s="16" t="s">
        <v>337</v>
      </c>
    </row>
    <row r="29">
      <c r="A29" s="16" t="s">
        <v>338</v>
      </c>
    </row>
    <row r="30">
      <c r="A30" s="16" t="s">
        <v>339</v>
      </c>
    </row>
    <row r="31">
      <c r="A31" s="16" t="s">
        <v>340</v>
      </c>
    </row>
    <row r="32">
      <c r="A32" s="16" t="s">
        <v>341</v>
      </c>
    </row>
    <row r="33">
      <c r="A33" s="16" t="s">
        <v>342</v>
      </c>
    </row>
    <row r="34">
      <c r="A34" s="16" t="s">
        <v>343</v>
      </c>
    </row>
    <row r="35">
      <c r="A35" s="16" t="s">
        <v>344</v>
      </c>
    </row>
    <row r="36">
      <c r="A36" s="16" t="s">
        <v>345</v>
      </c>
    </row>
    <row r="37">
      <c r="A37" s="16" t="s">
        <v>346</v>
      </c>
    </row>
    <row r="38">
      <c r="A38" s="16" t="s">
        <v>4</v>
      </c>
    </row>
    <row r="39">
      <c r="A39" s="16" t="s">
        <v>347</v>
      </c>
    </row>
    <row r="40">
      <c r="A40" s="16" t="s">
        <v>348</v>
      </c>
    </row>
    <row r="41">
      <c r="A41" s="16" t="s">
        <v>349</v>
      </c>
    </row>
    <row r="42">
      <c r="A42" s="16" t="s">
        <v>350</v>
      </c>
    </row>
    <row r="43">
      <c r="A43" s="16" t="s">
        <v>351</v>
      </c>
    </row>
    <row r="44">
      <c r="A44" s="16" t="s">
        <v>352</v>
      </c>
    </row>
    <row r="45">
      <c r="A45" s="16" t="s">
        <v>353</v>
      </c>
    </row>
    <row r="46">
      <c r="A46" s="16" t="s">
        <v>354</v>
      </c>
    </row>
    <row r="47">
      <c r="A47" s="16" t="s">
        <v>355</v>
      </c>
    </row>
    <row r="48">
      <c r="A48" s="16" t="s">
        <v>356</v>
      </c>
    </row>
    <row r="49">
      <c r="A49" s="16" t="s">
        <v>358</v>
      </c>
    </row>
    <row r="50">
      <c r="A50" s="16" t="s">
        <v>359</v>
      </c>
    </row>
    <row r="51">
      <c r="A51" s="16" t="s">
        <v>360</v>
      </c>
    </row>
    <row r="52">
      <c r="A52" s="16" t="s">
        <v>361</v>
      </c>
    </row>
    <row r="53">
      <c r="A53" s="16" t="s">
        <v>362</v>
      </c>
    </row>
    <row r="54">
      <c r="A54" s="16" t="s">
        <v>363</v>
      </c>
    </row>
    <row r="55">
      <c r="A55" s="16" t="s">
        <v>364</v>
      </c>
    </row>
    <row r="56">
      <c r="A56" s="16" t="s">
        <v>365</v>
      </c>
    </row>
    <row r="57">
      <c r="A57" s="16" t="s">
        <v>366</v>
      </c>
    </row>
    <row r="58">
      <c r="A58" s="16" t="s">
        <v>367</v>
      </c>
    </row>
    <row r="59">
      <c r="A59" s="16" t="s">
        <v>368</v>
      </c>
    </row>
    <row r="60">
      <c r="A60" s="16" t="s">
        <v>369</v>
      </c>
    </row>
    <row r="61">
      <c r="A61" s="16" t="s">
        <v>370</v>
      </c>
    </row>
    <row r="62">
      <c r="A62" s="16" t="s">
        <v>371</v>
      </c>
    </row>
    <row r="63">
      <c r="A63" s="16" t="s">
        <v>372</v>
      </c>
    </row>
    <row r="64">
      <c r="A64" s="16" t="s">
        <v>373</v>
      </c>
    </row>
    <row r="65">
      <c r="A65" s="16" t="s">
        <v>374</v>
      </c>
    </row>
    <row r="66">
      <c r="A66" s="16" t="s">
        <v>375</v>
      </c>
    </row>
    <row r="67">
      <c r="A67" s="16" t="s">
        <v>376</v>
      </c>
    </row>
    <row r="68">
      <c r="A68" s="16" t="s">
        <v>377</v>
      </c>
    </row>
    <row r="69">
      <c r="A69" s="16" t="s">
        <v>378</v>
      </c>
    </row>
    <row r="70">
      <c r="A70" s="16" t="s">
        <v>379</v>
      </c>
    </row>
    <row r="71">
      <c r="A71" s="16" t="s">
        <v>381</v>
      </c>
    </row>
    <row r="72">
      <c r="A72" s="16" t="s">
        <v>382</v>
      </c>
    </row>
    <row r="73">
      <c r="A73" s="16" t="s">
        <v>383</v>
      </c>
    </row>
    <row r="74">
      <c r="A74" s="16" t="s">
        <v>384</v>
      </c>
    </row>
    <row r="75">
      <c r="A75" s="16" t="s">
        <v>386</v>
      </c>
    </row>
    <row r="76">
      <c r="A76" s="16" t="s">
        <v>387</v>
      </c>
    </row>
    <row r="77">
      <c r="A77" s="16" t="s">
        <v>388</v>
      </c>
    </row>
    <row r="78">
      <c r="A78" s="16" t="s">
        <v>389</v>
      </c>
    </row>
    <row r="79">
      <c r="A79" s="16" t="s">
        <v>390</v>
      </c>
    </row>
    <row r="80">
      <c r="A80" s="16" t="s">
        <v>391</v>
      </c>
    </row>
    <row r="81">
      <c r="A81" s="16" t="s">
        <v>392</v>
      </c>
    </row>
  </sheetData>
  <drawing r:id="rId1"/>
</worksheet>
</file>