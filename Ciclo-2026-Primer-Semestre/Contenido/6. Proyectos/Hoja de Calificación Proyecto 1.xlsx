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" sheetId="1" r:id="rId5"/>
  </sheets>
  <definedNames/>
  <calcPr/>
</workbook>
</file>

<file path=xl/sharedStrings.xml><?xml version="1.0" encoding="utf-8"?>
<sst xmlns="http://schemas.openxmlformats.org/spreadsheetml/2006/main" count="120" uniqueCount="110">
  <si>
    <t>FACULTAD DE INGENIERÍA</t>
  </si>
  <si>
    <t>ESCUELA DE CIENCIAS Y SISTEMAS</t>
  </si>
  <si>
    <t>ORGANIZACIÓN DE LENGUAJES Y COMPILADORES 2</t>
  </si>
  <si>
    <t>SEGUNDO SEMESTRE 2026</t>
  </si>
  <si>
    <t>Ing. Bayron López, Ing. Luis Espino e Ing. Edgar Saban</t>
  </si>
  <si>
    <t>Tutores: Diego Cali, Diego Dubón y Omar Vides</t>
  </si>
  <si>
    <t>CALIFICACIÓN PRESENCIAL</t>
  </si>
  <si>
    <t xml:space="preserve">Fecha de calificación: </t>
  </si>
  <si>
    <t xml:space="preserve">          /           /          </t>
  </si>
  <si>
    <t>Carné:</t>
  </si>
  <si>
    <t xml:space="preserve">                                     </t>
  </si>
  <si>
    <t>Consideraciones para derecho a calificación</t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</si>
  <si>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Archivos de entrada: </t>
    </r>
    <r>
      <rPr>
        <rFont val="Arial,sans-serif"/>
        <color rgb="FF000000"/>
        <sz val="11.0"/>
      </rPr>
      <t>Se compartirán durante los días de calificación y solo podrán modificarse antes de iniciar la evaluación, únicamente para eliminar funcionalidades que el estudiante indique que no desarrolló.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</si>
  <si>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Modalidad de trabajo:</t>
    </r>
    <r>
      <rPr>
        <rFont val="Arial,sans-serif"/>
        <color rgb="FF000000"/>
        <sz val="11.0"/>
      </rPr>
      <t xml:space="preserve"> La modificación se realizará en grupos, pero la calificación será individual. Solo podrán realizar preguntas al tutor, quien no podrá intervenir en la solución.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</si>
  <si>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Intentos y tiempo:</t>
    </r>
    <r>
      <rPr>
        <rFont val="Arial,sans-serif"/>
        <color rgb="FF000000"/>
        <sz val="11.0"/>
      </rPr>
      <t xml:space="preserve"> El estudiante contará con dos intentos para la verificación. Cada intento tendrá un límite de tiempo definido por los tutores e indicado el día de la calificación. Si falla ambos intentos, la nota será 0 puntos. Si supera la verificación, se procederá con la calificación individual del proyecto.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</si>
  <si>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Rama y grabación obligatoria:</t>
    </r>
    <r>
      <rPr>
        <rFont val="Arial,sans-serif"/>
        <color rgb="FF000000"/>
        <sz val="11.0"/>
      </rPr>
      <t xml:space="preserve"> El estudiante deberá crear una rama llamada feature/solución para realizar la modificación solicitada. Deberá grabar su pantalla durante todo el proceso, subir la grabación a Drive y compartir el enlace por UEDi.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</si>
  <si>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Repositorio:</t>
    </r>
    <r>
      <rPr>
        <rFont val="Arial,sans-serif"/>
        <color rgb="FF000000"/>
        <sz val="11.0"/>
      </rPr>
      <t xml:space="preserve"> Solo se calificará si se verifica que la rama de solución fue subida al repositorio en GitHub o GitLab.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</si>
  <si>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 xml:space="preserve">Aspectos evaluables: </t>
    </r>
    <r>
      <rPr>
        <rFont val="Arial,sans-serif"/>
        <color rgb="FF000000"/>
        <sz val="11.0"/>
      </rPr>
      <t>Antes de iniciar la calificación, el estudiante deberá indicar en la columna “realizado” los aspectos que serán evaluados; no se considerarán otros durante la evaluación.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</si>
  <si>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Sistema operativo:</t>
    </r>
    <r>
      <rPr>
        <rFont val="Arial,sans-serif"/>
        <color rgb="FF000000"/>
        <sz val="11.0"/>
      </rPr>
      <t xml:space="preserve"> La calificación se realizará únicamente en distribuciones de Linux.</t>
    </r>
  </si>
  <si>
    <r>
      <rPr>
        <rFont val="Arial,sans-serif"/>
        <color rgb="FF000000"/>
        <sz val="11.0"/>
      </rPr>
      <t xml:space="preserve">• </t>
    </r>
    <r>
      <rPr>
        <rFont val="Arial,sans-serif"/>
        <b/>
        <color rgb="FF000000"/>
        <sz val="11.0"/>
      </rPr>
      <t>Entorno de desarrollo:</t>
    </r>
    <r>
      <rPr>
        <rFont val="Arial,sans-serif"/>
        <color rgb="FF000000"/>
        <sz val="11.0"/>
      </rPr>
      <t xml:space="preserve"> El estudiante debe tener su entorno listo para realizar las modificaciones necesarias que permitan verificar la autoría del código. Si no está listo, no se procederá con la calificación y deberá reprogramarse según los horarios disponibles. Si no hubiera horarios disponibles, deberá coordinar con el tutor de su sección.</t>
    </r>
  </si>
  <si>
    <r>
      <rPr>
        <rFont val="Arial,sans-serif"/>
        <b/>
        <color rgb="FF000000"/>
        <sz val="11.0"/>
      </rPr>
      <t xml:space="preserve">• Uso obligatorio de herramientas: </t>
    </r>
    <r>
      <rPr>
        <rFont val="Arial,sans-serif"/>
        <color rgb="FF000000"/>
        <sz val="11.0"/>
      </rPr>
      <t>Solo se aceptarán proyectos que hayan sido desarrollados utilizando la herramienta PLY. El estudiante deberá demostrar, cuando se le solicite, la correcta integración y uso de dichas herramientas en su proyecto. En caso de no evidenciar su uso, el proyecto no será considerado para calificación.</t>
    </r>
  </si>
  <si>
    <t>Lista de cotejo modificación proyecto 2</t>
  </si>
  <si>
    <t>El estudiante debe realizar una modificación en su código previamente desarrollado. Esta modificación tiene como objetivo verificar su capacidad de adaptar y extender funcionalidades, aplicando los conceptos vistos en clase.
Para garantizar la autoría individual, cada estudiante contará con:
- 2 oportunidades para realizar la modificación.
- Un tiempo límite de 15 minutos por cada oportunidad.
- Se usarán un máximo de dos modificaciones diferentes para el grupo a evaluar, distribuidas de la siguiente manera:
    - Primer Intento: Se aplica la misma modificación a todos los estudiantes.
    - Segundo Intento: Si un estudiante requiere la segunda oportunidad, se le asigna una nueva modificación, que será la misma para todos los estudiantes que necesiten este segundo intento.</t>
  </si>
  <si>
    <t>Oportunidad 1</t>
  </si>
  <si>
    <t>Criterio</t>
  </si>
  <si>
    <t>Estado/Resultado</t>
  </si>
  <si>
    <t>1. El estudiante completó el cambio en el tiempo estipulado</t>
  </si>
  <si>
    <t>2. Tiempo en que se llevó a cabo la modificación</t>
  </si>
  <si>
    <t>3.  Número de modificación</t>
  </si>
  <si>
    <t>4. El resultado es el esperado</t>
  </si>
  <si>
    <t>5. El estudiante subió los cambios a su rama</t>
  </si>
  <si>
    <t>Oportunidad 2</t>
  </si>
  <si>
    <t>_____________________                                                      ________________________</t>
  </si>
  <si>
    <t>Firma del Alumno                                                                   Firma del tutor académico</t>
  </si>
  <si>
    <t>Hoja de Calificación Proyecto 2</t>
  </si>
  <si>
    <t>Puntos Máximos</t>
  </si>
  <si>
    <t>Puntuación Obtenida</t>
  </si>
  <si>
    <t>Realizado (estudiante)</t>
  </si>
  <si>
    <t>Observaciones</t>
  </si>
  <si>
    <t>1 Funcionalidades Básicas</t>
  </si>
  <si>
    <t>1.1 Formato de identificadores (0.1 c/u)</t>
  </si>
  <si>
    <t>1.2 Comentarios (0.2 c/u)</t>
  </si>
  <si>
    <t>1.3 Declaración inmutable larga sin inicializar (Por cada tipo 0.2 c/u)</t>
  </si>
  <si>
    <t>1.4 Declaración inmutable larga inicializada (Por cada tipo 0.2 c/u)</t>
  </si>
  <si>
    <t>1.5 Declaración inmutable inferida inicializada (Por cada tipo 0.2 c/u)</t>
  </si>
  <si>
    <t>1.6 Declaración mutable sin inicializar (Por cada tipo 0.2 c/u)</t>
  </si>
  <si>
    <t>1.7 Declaración mutable inicializada (Por cada tipo 0.2 c/u)</t>
  </si>
  <si>
    <t>1.8 Asignación de variables mutables (Por cada tipo 0.2 c/u)</t>
  </si>
  <si>
    <t>1.9 Operadores de asignación (0.25 c/u)</t>
  </si>
  <si>
    <t>1.10 Operadores aritméticos (0.2 c/u)</t>
  </si>
  <si>
    <t>1.11 Operadores relacionales (0.25 c/u)</t>
  </si>
  <si>
    <t>1.12 Operadores lógicos (0.5 c/u)</t>
  </si>
  <si>
    <t>1.13 Restricción de cortocircuito (0.5 c/u)</t>
  </si>
  <si>
    <t>1.14 Manejo de None</t>
  </si>
  <si>
    <t>1.15 Literales y Secuencia de Escape (1 c/u)</t>
  </si>
  <si>
    <t>2 Funcionalidades
Intermedias</t>
  </si>
  <si>
    <t>2.1 If</t>
  </si>
  <si>
    <t>2.2 Match</t>
  </si>
  <si>
    <t>2.3 Loop</t>
  </si>
  <si>
    <t>2.4 Loop + Tag</t>
  </si>
  <si>
    <t>2.5 While</t>
  </si>
  <si>
    <t>2.6 Break</t>
  </si>
  <si>
    <t>2.7 Continue</t>
  </si>
  <si>
    <t>3 Funciones</t>
  </si>
  <si>
    <t>3.1 Funciones sin parámetro y sin retorno (greet() y gen_pascal() 1 c/u)</t>
  </si>
  <si>
    <t>3.2 Funciones con parámetros sin retorno (print_msg() y show_factorial() 1 c/u)</t>
  </si>
  <si>
    <t>3.3 Funciones con parámetros y con retorno (fibonacci() y euclidean_distance() 2 c/u)</t>
  </si>
  <si>
    <t>3.4 aprox_pi() + helper_leibniz()</t>
  </si>
  <si>
    <t>3.5 resolve_hanoi()</t>
  </si>
  <si>
    <t>3.6 Main (Hoisting)</t>
  </si>
  <si>
    <t>4 Funciones embebidas</t>
  </si>
  <si>
    <t>4.1 println!()</t>
  </si>
  <si>
    <t>4.2 typeof()</t>
  </si>
  <si>
    <t>4.3 random()</t>
  </si>
  <si>
    <t>4.4 len()</t>
  </si>
  <si>
    <t>4.5 contains()</t>
  </si>
  <si>
    <t>4.6 replace()</t>
  </si>
  <si>
    <t>4.7 split()</t>
  </si>
  <si>
    <t>4.8 to_uppercase()</t>
  </si>
  <si>
    <t>4.9 to_lowercase()</t>
  </si>
  <si>
    <t>4.10 reverse()</t>
  </si>
  <si>
    <t>5 Arreglos</t>
  </si>
  <si>
    <t>5.1 Declaración inmutable explícita e inferida (0.5 c/u)</t>
  </si>
  <si>
    <t>5.2 Declaración mutable explícita e inferida (0.5 c/u)</t>
  </si>
  <si>
    <t>5.3 Asignación y acceso a elemento (0.5 c/u)</t>
  </si>
  <si>
    <t>5.4 Declaración de slices</t>
  </si>
  <si>
    <t>5.5 find_max()</t>
  </si>
  <si>
    <t>5.6 sort_array()</t>
  </si>
  <si>
    <t>5.7 compare_arrays()</t>
  </si>
  <si>
    <t>6 Structs</t>
  </si>
  <si>
    <t>6.1 Declaración de structs</t>
  </si>
  <si>
    <t>6.2 Asignación de atributos</t>
  </si>
  <si>
    <t xml:space="preserve">6.3 Structs anidados </t>
  </si>
  <si>
    <t>6.4 polygon_area()</t>
  </si>
  <si>
    <t>6.5 detect_collision()</t>
  </si>
  <si>
    <t>7 GUI</t>
  </si>
  <si>
    <t>7.1 Barra de acciones (0.2 c/u)</t>
  </si>
  <si>
    <t>7.2 Editor de código</t>
  </si>
  <si>
    <t>7.3 Consola de salida</t>
  </si>
  <si>
    <t>7.4 Visor de reportes</t>
  </si>
  <si>
    <t>8 Reportes</t>
  </si>
  <si>
    <t>8.1 Reporte de errores + Tabla (0.1 c/u)</t>
  </si>
  <si>
    <t xml:space="preserve">8.2 Reporte de la tabla de símbolos </t>
  </si>
  <si>
    <t>8.3 Reporte de AST</t>
  </si>
  <si>
    <t>9 Documentación</t>
  </si>
  <si>
    <t>9.1 Manual de usuario</t>
  </si>
  <si>
    <t>9.2 Manual técnico</t>
  </si>
  <si>
    <t>Total</t>
  </si>
  <si>
    <t>Estoy conforme con la nota obtenida (Sí/No):</t>
  </si>
  <si>
    <t>Aprobación de Ingenieros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</si>
</sst>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u/>
      <sz val="12.0"/>
      <color theme="1"/>
      <name val="Arial"/>
    </font>
    <font>
      <b/>
      <sz val="12.0"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/>
    <font>
      <b/>
      <sz val="11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B6B6"/>
        <bgColor rgb="FFB6B6B6"/>
      </patternFill>
    </fill>
    <fill>
      <patternFill patternType="solid">
        <fgColor rgb="FFB7B7B7"/>
        <bgColor rgb="FFB7B7B7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9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vertical="center"/>
    </xf>
    <xf borderId="1" fillId="0" fontId="10" numFmtId="0" xfId="0" applyAlignment="1" applyBorder="1" applyFont="1">
      <alignment horizontal="center" readingOrder="0" shrinkToFit="0" wrapText="1"/>
    </xf>
    <xf borderId="2" fillId="0" fontId="11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/>
    </xf>
    <xf borderId="3" fillId="0" fontId="10" numFmtId="0" xfId="0" applyAlignment="1" applyBorder="1" applyFont="1">
      <alignment horizontal="center" readingOrder="0" shrinkToFit="0" wrapText="1"/>
    </xf>
    <xf borderId="3" fillId="0" fontId="10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horizontal="left" readingOrder="0" shrinkToFit="0" wrapText="1"/>
    </xf>
    <xf borderId="3" fillId="0" fontId="12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readingOrder="0"/>
    </xf>
    <xf borderId="3" fillId="2" fontId="13" numFmtId="0" xfId="0" applyAlignment="1" applyBorder="1" applyFill="1" applyFont="1">
      <alignment horizontal="left" readingOrder="0" shrinkToFit="0" wrapText="1"/>
    </xf>
    <xf borderId="3" fillId="2" fontId="4" numFmtId="0" xfId="0" applyAlignment="1" applyBorder="1" applyFill="1" applyFont="1">
      <alignment horizontal="center" readingOrder="0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3" fillId="2" fontId="2" numFmtId="0" xfId="0" applyBorder="1" applyFill="1" applyFont="1"/>
    <xf borderId="3" fillId="0" fontId="14" numFmtId="0" xfId="0" applyAlignment="1" applyBorder="1" applyFont="1">
      <alignment horizontal="left" readingOrder="0" shrinkToFit="0" wrapText="1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/>
    </xf>
    <xf borderId="3" fillId="0" fontId="2" numFmtId="0" xfId="0" applyBorder="1" applyFont="1"/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left" readingOrder="0" shrinkToFit="0" wrapText="1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3" fillId="0" fontId="14" numFmtId="0" xfId="0" applyAlignment="1" applyBorder="1" applyFont="1">
      <alignment horizontal="center" readingOrder="0" shrinkToFit="0" vertical="center" wrapText="1"/>
    </xf>
    <xf borderId="3" fillId="2" fontId="13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horizontal="center" readingOrder="0" shrinkToFit="0" wrapText="1"/>
    </xf>
    <xf borderId="3" fillId="0" fontId="15" numFmtId="0" xfId="0" applyAlignment="1" applyBorder="1" applyFont="1">
      <alignment vertical="top"/>
    </xf>
    <xf borderId="3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3" fillId="2" fontId="13" numFmtId="0" xfId="0" applyAlignment="1" applyBorder="1" applyFill="1" applyFont="1">
      <alignment horizontal="center" readingOrder="0" shrinkToFit="0" wrapText="1"/>
    </xf>
    <xf borderId="3" fillId="0" fontId="1" numFmtId="0" xfId="0" applyBorder="1" applyFont="1"/>
    <xf borderId="3" fillId="3" fontId="13" numFmtId="0" xfId="0" applyAlignment="1" applyBorder="1" applyFill="1" applyFont="1">
      <alignment horizontal="left" readingOrder="0" shrinkToFit="0" wrapText="1"/>
    </xf>
    <xf borderId="3" fillId="3" fontId="13" numFmtId="3" xfId="0" applyAlignment="1" applyBorder="1" applyFill="1" applyFont="1" applyNumberFormat="1">
      <alignment horizontal="center" readingOrder="0" shrinkToFit="0" vertical="center" wrapText="1"/>
    </xf>
    <xf borderId="3" fillId="3" fontId="13" numFmtId="3" xfId="0" applyAlignment="1" applyBorder="1" applyFill="1" applyFont="1" applyNumberFormat="1">
      <alignment horizontal="center" readingOrder="0" shrinkToFit="0" wrapText="1"/>
    </xf>
    <xf borderId="3" fillId="3" fontId="6" numFmtId="0" xfId="0" applyBorder="1" applyFill="1" applyFont="1"/>
    <xf borderId="3" fillId="0" fontId="14" numFmtId="3" xfId="0" applyAlignment="1" applyBorder="1" applyFont="1" applyNumberFormat="1">
      <alignment horizontal="center" readingOrder="0" shrinkToFit="0" vertical="center" wrapText="1"/>
    </xf>
    <xf borderId="3" fillId="4" fontId="13" numFmtId="0" xfId="0" applyAlignment="1" applyBorder="1" applyFill="1" applyFont="1">
      <alignment horizontal="left" readingOrder="0" shrinkToFit="0" wrapText="1"/>
    </xf>
    <xf borderId="3" fillId="4" fontId="13" numFmtId="0" xfId="0" applyAlignment="1" applyBorder="1" applyFill="1" applyFont="1">
      <alignment horizontal="center" readingOrder="0" shrinkToFit="0" vertical="center" wrapText="1"/>
    </xf>
    <xf borderId="3" fillId="4" fontId="13" numFmtId="3" xfId="0" applyAlignment="1" applyBorder="1" applyFill="1" applyFont="1" applyNumberFormat="1">
      <alignment horizontal="center" readingOrder="0" shrinkToFit="0" vertical="center" wrapText="1"/>
    </xf>
    <xf borderId="3" fillId="4" fontId="2" numFmtId="0" xfId="0" applyBorder="1" applyFill="1" applyFont="1"/>
    <xf borderId="3" fillId="0" fontId="2" numFmtId="0" xfId="0" applyAlignment="1" applyBorder="1" applyFont="1">
      <alignment readingOrder="0"/>
    </xf>
    <xf borderId="3" fillId="0" fontId="13" numFmtId="0" xfId="0" applyAlignment="1" applyBorder="1" applyFont="1">
      <alignment horizontal="left" readingOrder="0" shrinkToFit="0" wrapText="1"/>
    </xf>
    <xf borderId="3" fillId="0" fontId="13" numFmtId="4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152</xdr:row>
      <xdr:rowOff>0</xdr:rowOff>
    </xdr:from>
    <xdr:ext cx="295275" cy="200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38"/>
    <col customWidth="1" min="3" max="3" width="15.5"/>
    <col customWidth="1" min="4" max="4" width="14.13"/>
    <col customWidth="1" min="5" max="5" width="20.5"/>
    <col customWidth="1" min="6" max="7" width="14.13"/>
  </cols>
  <sheetData>
    <row r="1">
      <c r="A1" s="1" t="str">
        <f>UPPER("Universidad de San Carlos de Guatemala")</f>
        <v>UNIVERSIDAD DE SAN CARLOS DE GUATEMALA</v>
      </c>
      <c r="B1" s="2"/>
    </row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 ht="17.25" customHeight="1">
      <c r="A6" s="1" t="s">
        <v>4</v>
      </c>
      <c r="B6" s="2"/>
    </row>
    <row r="7">
      <c r="A7" s="1" t="s">
        <v>5</v>
      </c>
      <c r="B7" s="2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 t="s">
        <v>6</v>
      </c>
    </row>
    <row r="12">
      <c r="A12" s="4"/>
      <c r="B12" s="5"/>
      <c r="C12" s="6"/>
      <c r="D12" s="7"/>
    </row>
    <row r="13">
      <c r="A13" s="4"/>
      <c r="B13" s="5"/>
      <c r="C13" s="6"/>
      <c r="D13" s="7"/>
    </row>
    <row r="14">
      <c r="A14" s="4" t="s">
        <v>7</v>
      </c>
      <c r="B14" s="5" t="s">
        <v>8</v>
      </c>
      <c r="C14" s="6" t="s">
        <v>9</v>
      </c>
      <c r="D14" s="7" t="s">
        <v>10</v>
      </c>
    </row>
    <row r="15">
      <c r="A15" s="8"/>
      <c r="B15" s="9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 t="s">
        <v>11</v>
      </c>
    </row>
    <row r="19">
      <c r="A19" s="11"/>
    </row>
    <row r="20">
      <c r="A20" s="11"/>
    </row>
    <row r="21">
      <c r="A21" s="11"/>
    </row>
    <row r="22">
      <c r="A22" s="11" t="s">
        <v>12</v>
      </c>
    </row>
    <row r="23">
      <c r="A23" s="11" t="s">
        <v>13</v>
      </c>
    </row>
    <row r="24">
      <c r="A24" s="11" t="s">
        <v>14</v>
      </c>
    </row>
    <row r="25">
      <c r="A25" s="11" t="s">
        <v>15</v>
      </c>
    </row>
    <row r="26">
      <c r="A26" s="11" t="s">
        <v>16</v>
      </c>
    </row>
    <row r="27">
      <c r="A27" s="11" t="s">
        <v>17</v>
      </c>
    </row>
    <row r="28">
      <c r="A28" s="11" t="s">
        <v>18</v>
      </c>
    </row>
    <row r="29">
      <c r="A29" s="11" t="s">
        <v>19</v>
      </c>
    </row>
    <row r="30">
      <c r="A30" s="11" t="s">
        <v>20</v>
      </c>
    </row>
    <row r="31">
      <c r="A31" s="11"/>
    </row>
    <row r="32">
      <c r="A32" s="11"/>
    </row>
    <row r="33">
      <c r="A33" s="10" t="s">
        <v>21</v>
      </c>
    </row>
    <row r="34">
      <c r="B34" s="2"/>
    </row>
    <row r="35">
      <c r="A35" s="12" t="s">
        <v>22</v>
      </c>
    </row>
    <row r="36">
      <c r="A36" s="1"/>
      <c r="B36" s="13"/>
    </row>
    <row r="37">
      <c r="A37" s="4" t="s">
        <v>23</v>
      </c>
    </row>
    <row r="38">
      <c r="A38" s="14" t="s">
        <v>24</v>
      </c>
      <c r="B38" s="15"/>
      <c r="C38" s="16" t="s">
        <v>25</v>
      </c>
      <c r="D38" s="15"/>
    </row>
    <row r="39">
      <c r="A39" s="17" t="s">
        <v>26</v>
      </c>
      <c r="B39" s="15"/>
      <c r="C39" s="18"/>
      <c r="D39" s="15"/>
    </row>
    <row r="40">
      <c r="A40" s="17" t="s">
        <v>27</v>
      </c>
      <c r="B40" s="15"/>
      <c r="C40" s="18"/>
      <c r="D40" s="15"/>
    </row>
    <row r="41">
      <c r="A41" s="19" t="s">
        <v>28</v>
      </c>
      <c r="B41" s="15"/>
      <c r="C41" s="18"/>
      <c r="D41" s="15"/>
    </row>
    <row r="42">
      <c r="A42" s="19" t="s">
        <v>29</v>
      </c>
      <c r="B42" s="15"/>
      <c r="C42" s="18"/>
      <c r="D42" s="15"/>
    </row>
    <row r="43">
      <c r="A43" s="17" t="s">
        <v>30</v>
      </c>
      <c r="B43" s="15"/>
      <c r="C43" s="18"/>
      <c r="D43" s="15"/>
    </row>
    <row r="44">
      <c r="B44" s="2"/>
    </row>
    <row r="45">
      <c r="A45" s="4" t="s">
        <v>31</v>
      </c>
    </row>
    <row r="46">
      <c r="A46" s="14" t="s">
        <v>24</v>
      </c>
      <c r="B46" s="15"/>
      <c r="C46" s="16" t="s">
        <v>25</v>
      </c>
      <c r="D46" s="15"/>
    </row>
    <row r="47">
      <c r="A47" s="17" t="s">
        <v>26</v>
      </c>
      <c r="B47" s="15"/>
      <c r="C47" s="18"/>
      <c r="D47" s="15"/>
    </row>
    <row r="48">
      <c r="A48" s="17" t="s">
        <v>27</v>
      </c>
      <c r="B48" s="15"/>
      <c r="C48" s="18"/>
      <c r="D48" s="15"/>
    </row>
    <row r="49">
      <c r="A49" s="19" t="s">
        <v>28</v>
      </c>
      <c r="B49" s="15"/>
      <c r="C49" s="18"/>
      <c r="D49" s="15"/>
    </row>
    <row r="50">
      <c r="A50" s="19" t="s">
        <v>29</v>
      </c>
      <c r="B50" s="15"/>
      <c r="C50" s="18"/>
      <c r="D50" s="15"/>
    </row>
    <row r="51">
      <c r="A51" s="17" t="s">
        <v>30</v>
      </c>
      <c r="B51" s="15"/>
      <c r="C51" s="18"/>
      <c r="D51" s="15"/>
    </row>
    <row r="52">
      <c r="B52" s="2"/>
    </row>
    <row r="53">
      <c r="B53" s="2"/>
    </row>
    <row r="54">
      <c r="B54" s="2"/>
    </row>
    <row r="55">
      <c r="B55" s="2"/>
    </row>
    <row r="56">
      <c r="A56" s="20" t="s">
        <v>32</v>
      </c>
      <c r="G56" s="20"/>
    </row>
    <row r="57">
      <c r="A57" s="20" t="s">
        <v>33</v>
      </c>
      <c r="G57" s="20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A67" s="3" t="s">
        <v>34</v>
      </c>
    </row>
    <row r="68">
      <c r="B68" s="2"/>
    </row>
    <row r="69">
      <c r="A69" s="21"/>
      <c r="B69" s="22"/>
      <c r="C69" s="23"/>
      <c r="D69" s="24"/>
      <c r="E69" s="24"/>
    </row>
    <row r="70">
      <c r="A70" s="25" t="s">
        <v>24</v>
      </c>
      <c r="B70" s="26" t="s">
        <v>35</v>
      </c>
      <c r="C70" s="27" t="s">
        <v>36</v>
      </c>
      <c r="D70" s="28" t="s">
        <v>37</v>
      </c>
      <c r="E70" s="29" t="s">
        <v>38</v>
      </c>
    </row>
    <row r="71">
      <c r="A71" s="30" t="s">
        <v>39</v>
      </c>
      <c r="B71" s="31">
        <f>SUM(B72:B86)</f>
        <v>17</v>
      </c>
      <c r="C71" s="32">
        <f>SUM(C72:C85)</f>
        <v>0</v>
      </c>
      <c r="D71" s="33"/>
      <c r="E71" s="33"/>
    </row>
    <row r="72">
      <c r="A72" s="34" t="s">
        <v>40</v>
      </c>
      <c r="B72" s="35">
        <v>0.6</v>
      </c>
      <c r="C72" s="35"/>
      <c r="D72" s="36" t="b">
        <v>0</v>
      </c>
      <c r="E72" s="37"/>
    </row>
    <row r="73">
      <c r="A73" s="34" t="s">
        <v>41</v>
      </c>
      <c r="B73" s="35">
        <v>0.4</v>
      </c>
      <c r="C73" s="35"/>
      <c r="D73" s="36" t="b">
        <v>0</v>
      </c>
      <c r="E73" s="37"/>
    </row>
    <row r="74">
      <c r="A74" s="34" t="s">
        <v>42</v>
      </c>
      <c r="B74" s="35">
        <v>1.0</v>
      </c>
      <c r="C74" s="35"/>
      <c r="D74" s="36" t="b">
        <v>0</v>
      </c>
      <c r="E74" s="37"/>
    </row>
    <row r="75">
      <c r="A75" s="34" t="s">
        <v>43</v>
      </c>
      <c r="B75" s="35">
        <v>1.0</v>
      </c>
      <c r="C75" s="35"/>
      <c r="D75" s="36" t="b">
        <v>0</v>
      </c>
      <c r="E75" s="37"/>
    </row>
    <row r="76">
      <c r="A76" s="38" t="s">
        <v>44</v>
      </c>
      <c r="B76" s="35">
        <v>1.0</v>
      </c>
      <c r="C76" s="35"/>
      <c r="D76" s="36" t="b">
        <v>0</v>
      </c>
      <c r="E76" s="37"/>
    </row>
    <row r="77">
      <c r="A77" s="34" t="s">
        <v>45</v>
      </c>
      <c r="B77" s="35">
        <v>1.0</v>
      </c>
      <c r="C77" s="35"/>
      <c r="D77" s="36" t="b">
        <v>0</v>
      </c>
      <c r="E77" s="37"/>
    </row>
    <row r="78">
      <c r="A78" s="34" t="s">
        <v>46</v>
      </c>
      <c r="B78" s="35">
        <v>1.0</v>
      </c>
      <c r="C78" s="35"/>
      <c r="D78" s="36" t="b">
        <v>0</v>
      </c>
      <c r="E78" s="37"/>
    </row>
    <row r="79">
      <c r="A79" s="34" t="s">
        <v>47</v>
      </c>
      <c r="B79" s="35">
        <v>1.0</v>
      </c>
      <c r="C79" s="35"/>
      <c r="D79" s="36" t="b">
        <v>0</v>
      </c>
      <c r="E79" s="37"/>
    </row>
    <row r="80">
      <c r="A80" s="34" t="s">
        <v>48</v>
      </c>
      <c r="B80" s="35">
        <v>1.5</v>
      </c>
      <c r="C80" s="35"/>
      <c r="D80" s="36" t="b">
        <v>0</v>
      </c>
      <c r="E80" s="37"/>
    </row>
    <row r="81">
      <c r="A81" s="34" t="s">
        <v>49</v>
      </c>
      <c r="B81" s="35">
        <v>1.0</v>
      </c>
      <c r="C81" s="35"/>
      <c r="D81" s="36" t="b">
        <v>0</v>
      </c>
      <c r="E81" s="37"/>
    </row>
    <row r="82">
      <c r="A82" s="34" t="s">
        <v>50</v>
      </c>
      <c r="B82" s="35">
        <v>1.5</v>
      </c>
      <c r="C82" s="35"/>
      <c r="D82" s="36" t="b">
        <v>0</v>
      </c>
      <c r="E82" s="37"/>
    </row>
    <row r="83">
      <c r="A83" s="39" t="s">
        <v>51</v>
      </c>
      <c r="B83" s="40">
        <v>1.5</v>
      </c>
      <c r="C83" s="35"/>
      <c r="D83" s="41" t="b">
        <v>0</v>
      </c>
      <c r="E83" s="42"/>
    </row>
    <row r="84">
      <c r="A84" s="39" t="s">
        <v>52</v>
      </c>
      <c r="B84" s="40">
        <v>1.5</v>
      </c>
      <c r="C84" s="35"/>
      <c r="D84" s="41" t="b">
        <v>0</v>
      </c>
      <c r="E84" s="42"/>
    </row>
    <row r="85">
      <c r="A85" s="39" t="s">
        <v>53</v>
      </c>
      <c r="B85" s="43">
        <v>1.0</v>
      </c>
      <c r="C85" s="35"/>
      <c r="D85" s="41" t="b">
        <v>0</v>
      </c>
      <c r="E85" s="42"/>
    </row>
    <row r="86">
      <c r="A86" s="39" t="s">
        <v>54</v>
      </c>
      <c r="B86" s="43">
        <v>2.0</v>
      </c>
      <c r="C86" s="35"/>
      <c r="D86" s="41" t="b">
        <v>0</v>
      </c>
      <c r="E86" s="42"/>
    </row>
    <row r="87">
      <c r="A87" s="30" t="s">
        <v>55</v>
      </c>
      <c r="B87" s="44">
        <f t="shared" ref="B87:C87" si="1">SUM(B88:B94)</f>
        <v>18</v>
      </c>
      <c r="C87" s="44">
        <f t="shared" si="1"/>
        <v>0</v>
      </c>
      <c r="D87" s="33"/>
      <c r="E87" s="33"/>
    </row>
    <row r="88">
      <c r="A88" s="34" t="s">
        <v>56</v>
      </c>
      <c r="B88" s="35">
        <v>2.0</v>
      </c>
      <c r="C88" s="35"/>
      <c r="D88" s="37" t="b">
        <v>0</v>
      </c>
      <c r="E88" s="37"/>
    </row>
    <row r="89">
      <c r="A89" s="34" t="s">
        <v>57</v>
      </c>
      <c r="B89" s="35">
        <v>3.0</v>
      </c>
      <c r="C89" s="35"/>
      <c r="D89" s="37" t="b">
        <v>0</v>
      </c>
      <c r="E89" s="37"/>
    </row>
    <row r="90">
      <c r="A90" s="34" t="s">
        <v>58</v>
      </c>
      <c r="B90" s="35">
        <v>2.0</v>
      </c>
      <c r="C90" s="35"/>
      <c r="D90" s="37" t="b">
        <v>0</v>
      </c>
      <c r="E90" s="37"/>
    </row>
    <row r="91">
      <c r="A91" s="34" t="s">
        <v>59</v>
      </c>
      <c r="B91" s="35">
        <v>3.0</v>
      </c>
      <c r="C91" s="35"/>
      <c r="D91" s="37" t="b">
        <v>0</v>
      </c>
      <c r="E91" s="37"/>
    </row>
    <row r="92">
      <c r="A92" s="34" t="s">
        <v>60</v>
      </c>
      <c r="B92" s="35">
        <v>2.0</v>
      </c>
      <c r="C92" s="35"/>
      <c r="D92" s="37" t="b">
        <v>0</v>
      </c>
      <c r="E92" s="37"/>
    </row>
    <row r="93">
      <c r="A93" s="34" t="s">
        <v>61</v>
      </c>
      <c r="B93" s="35">
        <v>3.0</v>
      </c>
      <c r="C93" s="35"/>
      <c r="D93" s="37" t="b">
        <v>0</v>
      </c>
      <c r="E93" s="37"/>
    </row>
    <row r="94">
      <c r="A94" s="34" t="s">
        <v>62</v>
      </c>
      <c r="B94" s="35">
        <v>3.0</v>
      </c>
      <c r="C94" s="35"/>
      <c r="D94" s="37" t="b">
        <v>0</v>
      </c>
      <c r="E94" s="37"/>
    </row>
    <row r="95">
      <c r="A95" s="30" t="s">
        <v>63</v>
      </c>
      <c r="B95" s="44">
        <f>SUM(B96:B101)</f>
        <v>20</v>
      </c>
      <c r="C95" s="44">
        <f>SUM(C96:C99)</f>
        <v>0</v>
      </c>
      <c r="D95" s="33"/>
      <c r="E95" s="33"/>
    </row>
    <row r="96">
      <c r="A96" s="34" t="s">
        <v>64</v>
      </c>
      <c r="B96" s="35">
        <v>2.0</v>
      </c>
      <c r="C96" s="35"/>
      <c r="D96" s="37" t="b">
        <v>0</v>
      </c>
      <c r="E96" s="37"/>
    </row>
    <row r="97">
      <c r="A97" s="34" t="s">
        <v>65</v>
      </c>
      <c r="B97" s="35">
        <v>2.0</v>
      </c>
      <c r="C97" s="35"/>
      <c r="D97" s="37" t="b">
        <v>0</v>
      </c>
      <c r="E97" s="37"/>
    </row>
    <row r="98">
      <c r="A98" s="34" t="s">
        <v>66</v>
      </c>
      <c r="B98" s="35">
        <v>4.0</v>
      </c>
      <c r="C98" s="35"/>
      <c r="D98" s="37" t="b">
        <v>0</v>
      </c>
      <c r="E98" s="37"/>
    </row>
    <row r="99">
      <c r="A99" s="34" t="s">
        <v>67</v>
      </c>
      <c r="B99" s="35">
        <v>5.0</v>
      </c>
      <c r="C99" s="35"/>
      <c r="D99" s="37" t="b">
        <v>0</v>
      </c>
      <c r="E99" s="37"/>
    </row>
    <row r="100">
      <c r="A100" s="45" t="s">
        <v>68</v>
      </c>
      <c r="B100" s="46">
        <v>5.0</v>
      </c>
      <c r="C100" s="47"/>
      <c r="D100" s="48"/>
      <c r="E100" s="48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>
      <c r="A101" s="45" t="s">
        <v>69</v>
      </c>
      <c r="B101" s="46">
        <v>2.0</v>
      </c>
      <c r="C101" s="47"/>
      <c r="D101" s="48"/>
      <c r="E101" s="48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>
      <c r="A102" s="30" t="s">
        <v>70</v>
      </c>
      <c r="B102" s="44">
        <f t="shared" ref="B102:C102" si="2">SUM(B103:B112)</f>
        <v>10</v>
      </c>
      <c r="C102" s="44">
        <f t="shared" si="2"/>
        <v>0</v>
      </c>
      <c r="D102" s="44"/>
      <c r="E102" s="44"/>
    </row>
    <row r="103">
      <c r="A103" s="34" t="s">
        <v>71</v>
      </c>
      <c r="B103" s="35">
        <v>1.0</v>
      </c>
      <c r="C103" s="35"/>
      <c r="D103" s="37" t="b">
        <v>0</v>
      </c>
      <c r="E103" s="37"/>
    </row>
    <row r="104">
      <c r="A104" s="34" t="s">
        <v>72</v>
      </c>
      <c r="B104" s="35">
        <v>1.0</v>
      </c>
      <c r="C104" s="35"/>
      <c r="D104" s="37" t="b">
        <v>0</v>
      </c>
      <c r="E104" s="37"/>
    </row>
    <row r="105">
      <c r="A105" s="34" t="s">
        <v>73</v>
      </c>
      <c r="B105" s="35">
        <v>1.0</v>
      </c>
      <c r="C105" s="35"/>
      <c r="D105" s="37" t="b">
        <v>0</v>
      </c>
      <c r="E105" s="37"/>
    </row>
    <row r="106">
      <c r="A106" s="34" t="s">
        <v>74</v>
      </c>
      <c r="B106" s="35">
        <v>1.0</v>
      </c>
      <c r="C106" s="35"/>
      <c r="D106" s="37" t="b">
        <v>0</v>
      </c>
      <c r="E106" s="37"/>
    </row>
    <row r="107">
      <c r="A107" s="34" t="s">
        <v>75</v>
      </c>
      <c r="B107" s="35">
        <v>1.0</v>
      </c>
      <c r="C107" s="35"/>
      <c r="D107" s="37" t="b">
        <v>0</v>
      </c>
      <c r="E107" s="37"/>
    </row>
    <row r="108">
      <c r="A108" s="34" t="s">
        <v>76</v>
      </c>
      <c r="B108" s="35">
        <v>1.0</v>
      </c>
      <c r="C108" s="35"/>
      <c r="D108" s="37" t="b">
        <v>0</v>
      </c>
      <c r="E108" s="37"/>
    </row>
    <row r="109">
      <c r="A109" s="34" t="s">
        <v>77</v>
      </c>
      <c r="B109" s="35">
        <v>1.0</v>
      </c>
      <c r="C109" s="35"/>
      <c r="D109" s="37" t="b">
        <v>0</v>
      </c>
      <c r="E109" s="37"/>
    </row>
    <row r="110">
      <c r="A110" s="34" t="s">
        <v>78</v>
      </c>
      <c r="B110" s="35">
        <v>1.0</v>
      </c>
      <c r="C110" s="35"/>
      <c r="D110" s="37" t="b">
        <v>0</v>
      </c>
      <c r="E110" s="37"/>
    </row>
    <row r="111">
      <c r="A111" s="34" t="s">
        <v>79</v>
      </c>
      <c r="B111" s="35">
        <v>1.0</v>
      </c>
      <c r="C111" s="35"/>
      <c r="D111" s="37" t="b">
        <v>0</v>
      </c>
      <c r="E111" s="37"/>
    </row>
    <row r="112">
      <c r="A112" s="34" t="s">
        <v>80</v>
      </c>
      <c r="B112" s="35">
        <v>1.0</v>
      </c>
      <c r="C112" s="35"/>
      <c r="D112" s="37" t="b">
        <v>0</v>
      </c>
      <c r="E112" s="37"/>
    </row>
    <row r="113">
      <c r="A113" s="30" t="s">
        <v>81</v>
      </c>
      <c r="B113" s="44">
        <f t="shared" ref="B113:C113" si="3">SUM(B114:B120)</f>
        <v>16</v>
      </c>
      <c r="C113" s="50">
        <f t="shared" si="3"/>
        <v>0</v>
      </c>
      <c r="D113" s="33"/>
      <c r="E113" s="33"/>
    </row>
    <row r="114">
      <c r="A114" s="34" t="s">
        <v>82</v>
      </c>
      <c r="B114" s="35">
        <v>1.0</v>
      </c>
      <c r="C114" s="35"/>
      <c r="D114" s="37" t="b">
        <v>0</v>
      </c>
      <c r="E114" s="37"/>
    </row>
    <row r="115">
      <c r="A115" s="34" t="s">
        <v>83</v>
      </c>
      <c r="B115" s="35">
        <v>1.0</v>
      </c>
      <c r="C115" s="35"/>
      <c r="D115" s="37" t="b">
        <v>0</v>
      </c>
      <c r="E115" s="37"/>
    </row>
    <row r="116">
      <c r="A116" s="34" t="s">
        <v>84</v>
      </c>
      <c r="B116" s="35">
        <v>1.0</v>
      </c>
      <c r="C116" s="35"/>
      <c r="D116" s="37" t="b">
        <v>0</v>
      </c>
      <c r="E116" s="37"/>
    </row>
    <row r="117">
      <c r="A117" s="34" t="s">
        <v>85</v>
      </c>
      <c r="B117" s="35">
        <v>1.0</v>
      </c>
      <c r="C117" s="35"/>
      <c r="D117" s="37" t="b">
        <v>0</v>
      </c>
      <c r="E117" s="37"/>
    </row>
    <row r="118">
      <c r="A118" s="34" t="s">
        <v>86</v>
      </c>
      <c r="B118" s="35">
        <v>3.0</v>
      </c>
      <c r="C118" s="35"/>
      <c r="D118" s="37" t="b">
        <v>0</v>
      </c>
      <c r="E118" s="37"/>
    </row>
    <row r="119">
      <c r="A119" s="34" t="s">
        <v>87</v>
      </c>
      <c r="B119" s="35">
        <v>4.0</v>
      </c>
      <c r="C119" s="35"/>
      <c r="D119" s="37" t="b">
        <v>0</v>
      </c>
      <c r="E119" s="37"/>
    </row>
    <row r="120">
      <c r="A120" s="34" t="s">
        <v>88</v>
      </c>
      <c r="B120" s="35">
        <v>5.0</v>
      </c>
      <c r="C120" s="35"/>
      <c r="D120" s="37" t="b">
        <v>0</v>
      </c>
      <c r="E120" s="37"/>
    </row>
    <row r="121">
      <c r="A121" s="30" t="s">
        <v>89</v>
      </c>
      <c r="B121" s="44">
        <f t="shared" ref="B121:C121" si="4">SUM(B122:B126)</f>
        <v>11</v>
      </c>
      <c r="C121" s="50">
        <f t="shared" si="4"/>
        <v>0</v>
      </c>
      <c r="D121" s="33"/>
      <c r="E121" s="33"/>
    </row>
    <row r="122">
      <c r="A122" s="34" t="s">
        <v>90</v>
      </c>
      <c r="B122" s="35">
        <v>1.0</v>
      </c>
      <c r="C122" s="35"/>
      <c r="D122" s="37" t="b">
        <v>0</v>
      </c>
      <c r="E122" s="37"/>
    </row>
    <row r="123">
      <c r="A123" s="34" t="s">
        <v>91</v>
      </c>
      <c r="B123" s="35">
        <v>1.0</v>
      </c>
      <c r="C123" s="35"/>
      <c r="D123" s="37" t="b">
        <v>0</v>
      </c>
      <c r="E123" s="37"/>
    </row>
    <row r="124">
      <c r="A124" s="34" t="s">
        <v>92</v>
      </c>
      <c r="B124" s="35">
        <v>1.0</v>
      </c>
      <c r="C124" s="35"/>
      <c r="D124" s="37" t="b">
        <v>0</v>
      </c>
      <c r="E124" s="37"/>
    </row>
    <row r="125">
      <c r="A125" s="34" t="s">
        <v>93</v>
      </c>
      <c r="B125" s="35">
        <v>3.0</v>
      </c>
      <c r="C125" s="35"/>
      <c r="D125" s="37" t="b">
        <v>0</v>
      </c>
      <c r="E125" s="37"/>
    </row>
    <row r="126">
      <c r="A126" s="34" t="s">
        <v>94</v>
      </c>
      <c r="B126" s="35">
        <v>5.0</v>
      </c>
      <c r="C126" s="35"/>
      <c r="D126" s="37" t="b">
        <v>0</v>
      </c>
      <c r="E126" s="37"/>
    </row>
    <row r="127">
      <c r="A127" s="30" t="s">
        <v>95</v>
      </c>
      <c r="B127" s="44">
        <f t="shared" ref="B127:C127" si="5">SUM(B128:B131)</f>
        <v>3</v>
      </c>
      <c r="C127" s="50">
        <f t="shared" si="5"/>
        <v>0</v>
      </c>
      <c r="D127" s="33"/>
      <c r="E127" s="33"/>
    </row>
    <row r="128">
      <c r="A128" s="39" t="s">
        <v>96</v>
      </c>
      <c r="B128" s="40">
        <v>1.0</v>
      </c>
      <c r="C128" s="40"/>
      <c r="D128" s="51" t="b">
        <v>0</v>
      </c>
      <c r="E128" s="51"/>
    </row>
    <row r="129">
      <c r="A129" s="39" t="s">
        <v>97</v>
      </c>
      <c r="B129" s="40">
        <v>0.5</v>
      </c>
      <c r="C129" s="40"/>
      <c r="D129" s="51" t="b">
        <v>0</v>
      </c>
      <c r="E129" s="51"/>
    </row>
    <row r="130">
      <c r="A130" s="39" t="s">
        <v>98</v>
      </c>
      <c r="B130" s="40">
        <v>0.5</v>
      </c>
      <c r="C130" s="40"/>
      <c r="D130" s="38" t="b">
        <v>0</v>
      </c>
      <c r="E130" s="38"/>
    </row>
    <row r="131">
      <c r="A131" s="39" t="s">
        <v>99</v>
      </c>
      <c r="B131" s="40">
        <v>1.0</v>
      </c>
      <c r="C131" s="40"/>
      <c r="D131" s="38" t="b">
        <v>0</v>
      </c>
      <c r="E131" s="38"/>
    </row>
    <row r="132">
      <c r="A132" s="52" t="s">
        <v>100</v>
      </c>
      <c r="B132" s="53">
        <f>SUM(B133:B135)</f>
        <v>3</v>
      </c>
      <c r="C132" s="54">
        <f>SUM(C133:C134)</f>
        <v>0</v>
      </c>
      <c r="D132" s="55"/>
      <c r="E132" s="55"/>
    </row>
    <row r="133">
      <c r="A133" s="34" t="s">
        <v>101</v>
      </c>
      <c r="B133" s="56">
        <v>1.0</v>
      </c>
      <c r="C133" s="56"/>
      <c r="D133" s="37" t="b">
        <v>0</v>
      </c>
      <c r="E133" s="37"/>
    </row>
    <row r="134">
      <c r="A134" s="34" t="s">
        <v>102</v>
      </c>
      <c r="B134" s="56">
        <v>1.0</v>
      </c>
      <c r="C134" s="56"/>
      <c r="D134" s="37" t="b">
        <v>0</v>
      </c>
      <c r="E134" s="37"/>
    </row>
    <row r="135">
      <c r="A135" s="34" t="s">
        <v>103</v>
      </c>
      <c r="B135" s="56">
        <v>1.0</v>
      </c>
      <c r="C135" s="56"/>
      <c r="D135" s="37" t="b">
        <v>0</v>
      </c>
      <c r="E135" s="37"/>
    </row>
    <row r="136">
      <c r="A136" s="57" t="s">
        <v>104</v>
      </c>
      <c r="B136" s="58">
        <f t="shared" ref="B136:C136" si="6">SUM(B137:B138)</f>
        <v>2</v>
      </c>
      <c r="C136" s="59">
        <f t="shared" si="6"/>
        <v>0</v>
      </c>
      <c r="D136" s="60"/>
      <c r="E136" s="60"/>
    </row>
    <row r="137">
      <c r="A137" s="34" t="s">
        <v>105</v>
      </c>
      <c r="B137" s="35">
        <v>1.0</v>
      </c>
      <c r="C137" s="56"/>
      <c r="D137" s="61" t="b">
        <v>0</v>
      </c>
      <c r="E137" s="37"/>
    </row>
    <row r="138">
      <c r="A138" s="34" t="s">
        <v>106</v>
      </c>
      <c r="B138" s="35">
        <v>1.0</v>
      </c>
      <c r="C138" s="56"/>
      <c r="D138" s="37" t="b">
        <v>0</v>
      </c>
      <c r="E138" s="37"/>
    </row>
    <row r="139">
      <c r="A139" s="62" t="s">
        <v>107</v>
      </c>
      <c r="B139" s="63">
        <f>SUM(B136,B132,B127,B121,B113,B102,B95,B87,B71)</f>
        <v>100</v>
      </c>
      <c r="C139" s="63">
        <f>SUM(C136,C132,C127,C113,C102,C95,C87,C71)</f>
        <v>0</v>
      </c>
      <c r="D139" s="37"/>
      <c r="E139" s="37"/>
    </row>
    <row r="140">
      <c r="B140" s="2"/>
    </row>
    <row r="141">
      <c r="B141" s="2"/>
    </row>
    <row r="142">
      <c r="A142" s="64" t="s">
        <v>108</v>
      </c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A149" s="20" t="s">
        <v>32</v>
      </c>
    </row>
    <row r="150">
      <c r="A150" s="20" t="s">
        <v>33</v>
      </c>
    </row>
    <row r="151">
      <c r="B151" s="2"/>
    </row>
    <row r="152">
      <c r="A152" s="64" t="s">
        <v>109</v>
      </c>
      <c r="B152" s="2"/>
    </row>
    <row r="153">
      <c r="A153" s="65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  <row r="1027">
      <c r="B1027" s="2"/>
    </row>
    <row r="1028">
      <c r="B1028" s="2"/>
    </row>
    <row r="1029">
      <c r="B1029" s="2"/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B1037" s="2"/>
    </row>
    <row r="1038">
      <c r="B1038" s="2"/>
    </row>
    <row r="1039">
      <c r="B1039" s="2"/>
    </row>
    <row r="1040">
      <c r="B1040" s="2"/>
    </row>
    <row r="1041">
      <c r="B1041" s="2"/>
    </row>
    <row r="1042">
      <c r="B1042" s="2"/>
    </row>
    <row r="1043">
      <c r="B1043" s="2"/>
    </row>
    <row r="1044">
      <c r="B1044" s="2"/>
    </row>
    <row r="1045">
      <c r="B1045" s="2"/>
    </row>
    <row r="1046">
      <c r="B1046" s="2"/>
    </row>
    <row r="1047">
      <c r="B1047" s="2"/>
    </row>
    <row r="1048">
      <c r="B1048" s="2"/>
    </row>
    <row r="1049">
      <c r="B1049" s="2"/>
    </row>
    <row r="1050">
      <c r="B1050" s="2"/>
    </row>
    <row r="1051">
      <c r="B1051" s="2"/>
    </row>
    <row r="1052">
      <c r="B1052" s="2"/>
    </row>
    <row r="1053">
      <c r="B1053" s="2"/>
    </row>
    <row r="1054">
      <c r="B1054" s="2"/>
    </row>
    <row r="1055">
      <c r="B1055" s="2"/>
    </row>
    <row r="1056">
      <c r="B1056" s="2"/>
    </row>
    <row r="1057">
      <c r="B1057" s="2"/>
    </row>
    <row r="1058">
      <c r="B1058" s="2"/>
    </row>
    <row r="1059">
      <c r="B1059" s="2"/>
    </row>
    <row r="1060">
      <c r="B1060" s="2"/>
    </row>
    <row r="1061">
      <c r="B1061" s="2"/>
    </row>
    <row r="1062">
      <c r="B1062" s="2"/>
    </row>
    <row r="1063">
      <c r="B1063" s="2"/>
    </row>
    <row r="1064">
      <c r="B1064" s="2"/>
    </row>
    <row r="1065">
      <c r="B1065" s="2"/>
    </row>
    <row r="1066">
      <c r="B1066" s="2"/>
    </row>
    <row r="1067">
      <c r="B1067" s="2"/>
    </row>
    <row r="1068">
      <c r="B1068" s="2"/>
    </row>
  </sheetData>
  <mergeCells count="50">
    <mergeCell ref="A11:E1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5:E35"/>
    <mergeCell ref="A37:E37"/>
    <mergeCell ref="A38:B38"/>
    <mergeCell ref="C38:D38"/>
    <mergeCell ref="A42:B42"/>
    <mergeCell ref="A43:B43"/>
    <mergeCell ref="A39:B39"/>
    <mergeCell ref="C39:D39"/>
    <mergeCell ref="A40:B40"/>
    <mergeCell ref="C40:D40"/>
    <mergeCell ref="A41:B41"/>
    <mergeCell ref="C41:D41"/>
    <mergeCell ref="C42:D42"/>
    <mergeCell ref="C43:D43"/>
    <mergeCell ref="A45:E45"/>
    <mergeCell ref="A46:B46"/>
    <mergeCell ref="C46:D46"/>
    <mergeCell ref="A47:B47"/>
    <mergeCell ref="C47:D47"/>
    <mergeCell ref="C48:D48"/>
    <mergeCell ref="A56:E56"/>
    <mergeCell ref="A57:E57"/>
    <mergeCell ref="A67:E67"/>
    <mergeCell ref="A149:E149"/>
    <mergeCell ref="A150:E150"/>
    <mergeCell ref="A153:E172"/>
    <mergeCell ref="A48:B48"/>
    <mergeCell ref="A49:B49"/>
    <mergeCell ref="C49:D49"/>
    <mergeCell ref="A50:B50"/>
    <mergeCell ref="C50:D50"/>
    <mergeCell ref="A51:B51"/>
    <mergeCell ref="C51:D51"/>
  </mergeCells>
  <printOptions horizontalCentered="1"/>
  <pageMargins bottom="0.75" footer="0.0" header="0.0" left="0.25" right="0.25" top="0.75"/>
  <pageSetup cellComments="atEnd" orientation="portrait" pageOrder="overThenDown"/>
  <drawing r:id="rId1"/>
</worksheet>
</file>