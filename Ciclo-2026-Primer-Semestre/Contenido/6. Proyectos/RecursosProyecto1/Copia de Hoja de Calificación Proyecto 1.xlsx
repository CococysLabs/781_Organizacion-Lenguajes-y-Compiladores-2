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5"/>
  </sheets>
  <definedNames/>
  <calcPr/>
</workbook>
</file>

<file path=xl/sharedStrings.xml><?xml version="1.0" encoding="utf-8"?>
<sst xmlns="http://schemas.openxmlformats.org/spreadsheetml/2006/main" count="111" uniqueCount="101">
  <si>
    <t>FACULTAD DE INGENIERÍA</t>
  </si>
  <si>
    <t>ESCUELA DE CIENCIAS Y SISTEMAS</t>
  </si>
  <si>
    <t>ORGANIZACIÓN DE LENGUAJES Y COMPILADORES 2</t>
  </si>
  <si>
    <t>SEGUNDO SEMESTRE 2025</t>
  </si>
  <si>
    <t>Ing. Bayron López, Ing. Luis Espino e Ing. Edgar Saban</t>
  </si>
  <si>
    <t>Tutores: Diego Cali, Rubén Ralda y Omar Vides</t>
  </si>
  <si>
    <t>CALIFICACIÓN PRESENCIAL</t>
  </si>
  <si>
    <t xml:space="preserve">Fecha de calificación: </t>
  </si>
  <si>
    <t xml:space="preserve">          /           /          </t>
  </si>
  <si>
    <t>Carnet:</t>
  </si>
  <si>
    <t xml:space="preserve">                                     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</si>
  <si>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</si>
  <si>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</si>
  <si>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</si>
  <si>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</si>
  <si>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</si>
  <si>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</si>
  <si>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</si>
  <si>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</si>
  <si>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</si>
  <si>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Lista de cotejo modificación proyecto 1</t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</si>
  <si>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</si>
  <si>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t>Oportunidad 1</t>
  </si>
  <si>
    <t>Criterio</t>
  </si>
  <si>
    <t>Estado/Resultado</t>
  </si>
  <si>
    <t>1. El estudiante completo el cambio en el tiempo estipulado</t>
  </si>
  <si>
    <t>2. Tiempo en que se llevo a cabo la modificación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</si>
  <si>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</si>
  <si>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</si>
  <si>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</si>
  <si>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</si>
  <si>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</si>
  <si>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</si>
  <si>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1</t>
  </si>
  <si>
    <t>Puntos Máximos</t>
  </si>
  <si>
    <t>Puntuación Obtenida</t>
  </si>
  <si>
    <t>Realizado (estudiante)</t>
  </si>
  <si>
    <t>Observaciones</t>
  </si>
  <si>
    <t>1 Funcionalidades Básicas</t>
  </si>
  <si>
    <t>1.1 Declaración larga de variables (int32, float32, bool, rune, string) 0.2 puntos c/u</t>
  </si>
  <si>
    <t>1.2 Asignación de variables (int32, float32, bool, rune, string) 0.2 puntos c/u</t>
  </si>
  <si>
    <t>1.3 Formato de identificadores (no iniciar con caracteres especiales, case sensitive y palabras reservadas) 0.1 puntos c/u</t>
  </si>
  <si>
    <t>1.4 Declaración corta de variables (int32, float32, bool, rune, string) 0.4 puntos c/u</t>
  </si>
  <si>
    <t>1.5 Declaración larga sin inicializar (int32, float32, bool, rune, string) 0.2 puntos c/u</t>
  </si>
  <si>
    <t>1.6 Declaración múltiple de variables (larga y corta)</t>
  </si>
  <si>
    <t xml:space="preserve">1.7 Declaración de constantes </t>
  </si>
  <si>
    <t>1.8 Manejo de nil</t>
  </si>
  <si>
    <t>1.9 Comentarios de una línea</t>
  </si>
  <si>
    <t>1.10 Comentarios multilínea</t>
  </si>
  <si>
    <t>1.11 Operaciones Aritméticas (0.4pts c/u)</t>
  </si>
  <si>
    <t>1.12 Operaciones relacionales (0.4pts c/u)</t>
  </si>
  <si>
    <t>1.13 Operaciones lógicas (1pt c/u)</t>
  </si>
  <si>
    <t>1.14 Restricción de corto circuito</t>
  </si>
  <si>
    <t>1.15 Operadores de asignación (0.4pts c/u)</t>
  </si>
  <si>
    <t>2 Funcionalidades
Intermedias</t>
  </si>
  <si>
    <t>2.2 if</t>
  </si>
  <si>
    <t>2.3 if else</t>
  </si>
  <si>
    <t>2.4 switch/case/default</t>
  </si>
  <si>
    <t>2.5 for clásico</t>
  </si>
  <si>
    <t>2.6 for condicional</t>
  </si>
  <si>
    <t>2.7 for infinito</t>
  </si>
  <si>
    <t>2.8 break</t>
  </si>
  <si>
    <t>2.9 continue</t>
  </si>
  <si>
    <t>3 Funciones</t>
  </si>
  <si>
    <t>3.1 Función no recursiva
sin parámetros (imprimirArbol)</t>
  </si>
  <si>
    <t>3.2 Función con parámetros no recursiva (calcularVolumenPiramide)</t>
  </si>
  <si>
    <t>3.3 funciones por referencia (ordenamientoSeleccion e intercambioValores - 1.5 pts c/u)</t>
  </si>
  <si>
    <t>3.4 función no recursiva múltiple retorno (division)</t>
  </si>
  <si>
    <t>3.4 función recursiva con un retorno (potencia)</t>
  </si>
  <si>
    <t>3.5 función recursiva con múltiple retorno (Función Algorítmo de Euclides)</t>
  </si>
  <si>
    <t>3.6 función main()</t>
  </si>
  <si>
    <t>3.7 hoisting</t>
  </si>
  <si>
    <t>4 Funciones embebidas</t>
  </si>
  <si>
    <t>4.1 fmt.Println()</t>
  </si>
  <si>
    <t>4.2 len()</t>
  </si>
  <si>
    <t>4.3 now()</t>
  </si>
  <si>
    <t>4.4 substr()</t>
  </si>
  <si>
    <t>4.5 typeOf()</t>
  </si>
  <si>
    <t>5 Arreglos</t>
  </si>
  <si>
    <t>5.1 Declaración no inicializada e inicializada (0.5pts c/u)</t>
  </si>
  <si>
    <t>5.2 Arreglos de tipos estáticos (0.2pts c/u)</t>
  </si>
  <si>
    <t>5.3 Acceso y Modificación de elementos (0.5pts c/u)</t>
  </si>
  <si>
    <t>5.4 Declaración multidimensional inicializada y no inicializada (0.5pts c/u)</t>
  </si>
  <si>
    <t>5.5 Acceso y Modificación de elementos en arreglo multidimensional (0.5pts c/u)</t>
  </si>
  <si>
    <t>5.6 Función de Ídice de inestabilidad por fila (Matriz)</t>
  </si>
  <si>
    <t>5.7 Función de regla de Cramer (Matriz + Arreglo)</t>
  </si>
  <si>
    <t>5.8 Función Promedio de Capas (Cubo)</t>
  </si>
  <si>
    <t>5.9 Función Softmax (Retorno de Matriz)</t>
  </si>
  <si>
    <t>6 GUI</t>
  </si>
  <si>
    <t>6.1 Barra de acciones</t>
  </si>
  <si>
    <t>6.2 Panel de edición de código</t>
  </si>
  <si>
    <t>6.3 Consola de salida</t>
  </si>
  <si>
    <t>6.4 Panel de reportes</t>
  </si>
  <si>
    <t>7. Reportes</t>
  </si>
  <si>
    <t>7.1 Tabla de símbolos</t>
  </si>
  <si>
    <t>7.2 Reporte de Errores (0.2pts por cada tipo de error)</t>
  </si>
  <si>
    <t>8 Documentación</t>
  </si>
  <si>
    <t>8.1 Manual de Usuario</t>
  </si>
  <si>
    <t>8.2 Manual Técnico</t>
  </si>
  <si>
    <t>Total</t>
  </si>
  <si>
    <t>Estoy conforme con la nota obtenida (Sí/No):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</si>
</sst>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3" fillId="2" fontId="2" numFmtId="0" xfId="0" applyBorder="1" applyFill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3" fillId="2" fontId="13" numFmtId="0" xfId="0" applyAlignment="1" applyBorder="1" applyFill="1" applyFont="1">
      <alignment horizontal="center" readingOrder="0" shrinkToFit="0" vertical="center" wrapText="1"/>
    </xf>
    <xf borderId="3" fillId="2" fontId="13" numFmtId="0" xfId="0" applyAlignment="1" applyBorder="1" applyFill="1" applyFont="1">
      <alignment horizontal="center" readingOrder="0" shrinkToFit="0" wrapText="1"/>
    </xf>
    <xf borderId="3" fillId="0" fontId="14" numFmtId="0" xfId="0" applyAlignment="1" applyBorder="1" applyFont="1">
      <alignment horizontal="left" shrinkToFit="0" wrapText="1"/>
    </xf>
    <xf borderId="3" fillId="2" fontId="2" numFmtId="0" xfId="0" applyAlignment="1" applyBorder="1" applyFill="1" applyFont="1">
      <alignment horizontal="left" shrinkToFit="0" vertical="top" wrapText="1"/>
    </xf>
    <xf borderId="3" fillId="0" fontId="15" numFmtId="0" xfId="0" applyAlignment="1" applyBorder="1" applyFont="1">
      <alignment horizontal="left" shrinkToFit="0" vertical="top" wrapText="1"/>
    </xf>
    <xf borderId="3" fillId="0" fontId="13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left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ill="1" applyFont="1" applyNumberFormat="1">
      <alignment horizontal="center" readingOrder="0" shrinkToFit="0" vertical="center" wrapText="1"/>
    </xf>
    <xf borderId="3" fillId="3" fontId="13" numFmtId="0" xfId="0" applyAlignment="1" applyBorder="1" applyFill="1" applyFont="1">
      <alignment horizontal="center" readingOrder="0" shrinkToFit="0" wrapText="1"/>
    </xf>
    <xf borderId="3" fillId="3" fontId="6" numFmtId="0" xfId="0" applyBorder="1" applyFill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ill="1" applyFont="1">
      <alignment horizontal="center" readingOrder="0" shrinkToFit="0" vertical="center" wrapText="1"/>
    </xf>
    <xf borderId="3" fillId="4" fontId="15" numFmtId="0" xfId="0" applyAlignment="1" applyBorder="1" applyFill="1" applyFont="1">
      <alignment horizontal="left" shrinkToFit="0" vertical="top" wrapText="1"/>
    </xf>
    <xf borderId="3" fillId="4" fontId="2" numFmtId="0" xfId="0" applyBorder="1" applyFill="1" applyFont="1"/>
    <xf borderId="3" fillId="0" fontId="13" numFmtId="0" xfId="0" applyAlignment="1" applyBorder="1" applyFont="1">
      <alignment horizontal="left" readingOrder="0" shrinkToFit="0" wrapText="1"/>
    </xf>
    <xf borderId="3" fillId="0" fontId="13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 t="s">
        <v>10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13</v>
      </c>
    </row>
    <row r="24">
      <c r="A24" s="11" t="s">
        <v>14</v>
      </c>
    </row>
    <row r="25">
      <c r="A25" s="11" t="s">
        <v>15</v>
      </c>
    </row>
    <row r="26">
      <c r="A26" s="11" t="s">
        <v>16</v>
      </c>
    </row>
    <row r="27">
      <c r="A27" s="11" t="s">
        <v>17</v>
      </c>
    </row>
    <row r="28">
      <c r="A28" s="11" t="s">
        <v>18</v>
      </c>
    </row>
    <row r="29">
      <c r="A29" s="11" t="s">
        <v>19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>SUM(B72:B86)</f>
        <v>21</v>
      </c>
      <c r="C71" s="32"/>
      <c r="D71" s="33"/>
      <c r="E71" s="33"/>
    </row>
    <row r="72">
      <c r="A72" s="34" t="s">
        <v>39</v>
      </c>
      <c r="B72" s="35">
        <v>1.0</v>
      </c>
      <c r="C72" s="36"/>
      <c r="D72" s="37"/>
      <c r="E72" s="37"/>
    </row>
    <row r="73">
      <c r="A73" s="34" t="s">
        <v>40</v>
      </c>
      <c r="B73" s="35">
        <v>1.0</v>
      </c>
      <c r="C73" s="36"/>
      <c r="D73" s="37"/>
      <c r="E73" s="37"/>
    </row>
    <row r="74">
      <c r="A74" s="34" t="s">
        <v>41</v>
      </c>
      <c r="B74" s="35">
        <v>0.5</v>
      </c>
      <c r="C74" s="36"/>
      <c r="D74" s="37"/>
      <c r="E74" s="37"/>
    </row>
    <row r="75">
      <c r="A75" s="38" t="s">
        <v>42</v>
      </c>
      <c r="B75" s="35">
        <v>2.0</v>
      </c>
      <c r="C75" s="36"/>
      <c r="D75" s="37"/>
      <c r="E75" s="37"/>
    </row>
    <row r="76">
      <c r="A76" s="34" t="s">
        <v>43</v>
      </c>
      <c r="B76" s="35">
        <v>1.0</v>
      </c>
      <c r="C76" s="36"/>
      <c r="D76" s="37"/>
      <c r="E76" s="37"/>
    </row>
    <row r="77">
      <c r="A77" s="34" t="s">
        <v>44</v>
      </c>
      <c r="B77" s="35">
        <v>2.0</v>
      </c>
      <c r="C77" s="36"/>
      <c r="D77" s="37"/>
      <c r="E77" s="37"/>
    </row>
    <row r="78">
      <c r="A78" s="34" t="s">
        <v>45</v>
      </c>
      <c r="B78" s="35">
        <v>1.0</v>
      </c>
      <c r="C78" s="36"/>
      <c r="D78" s="37"/>
      <c r="E78" s="37"/>
    </row>
    <row r="79">
      <c r="A79" s="34" t="s">
        <v>46</v>
      </c>
      <c r="B79" s="35">
        <v>2.0</v>
      </c>
      <c r="C79" s="36"/>
      <c r="D79" s="37"/>
      <c r="E79" s="37"/>
    </row>
    <row r="80">
      <c r="A80" s="39" t="s">
        <v>47</v>
      </c>
      <c r="B80" s="40">
        <v>0.25</v>
      </c>
      <c r="C80" s="36"/>
      <c r="D80" s="37"/>
      <c r="E80" s="37"/>
    </row>
    <row r="81">
      <c r="A81" s="39" t="s">
        <v>48</v>
      </c>
      <c r="B81" s="40">
        <v>0.25</v>
      </c>
      <c r="C81" s="41"/>
      <c r="D81" s="41"/>
      <c r="E81" s="41"/>
    </row>
    <row r="82">
      <c r="A82" s="39" t="s">
        <v>49</v>
      </c>
      <c r="B82" s="42">
        <v>2.0</v>
      </c>
      <c r="C82" s="41"/>
      <c r="D82" s="41"/>
      <c r="E82" s="41"/>
    </row>
    <row r="83">
      <c r="A83" s="39" t="s">
        <v>50</v>
      </c>
      <c r="B83" s="42">
        <v>2.0</v>
      </c>
      <c r="C83" s="41"/>
      <c r="D83" s="41"/>
      <c r="E83" s="41"/>
    </row>
    <row r="84">
      <c r="A84" s="39" t="s">
        <v>51</v>
      </c>
      <c r="B84" s="42">
        <v>2.0</v>
      </c>
      <c r="C84" s="43"/>
      <c r="D84" s="41"/>
      <c r="E84" s="41"/>
    </row>
    <row r="85">
      <c r="A85" s="39" t="s">
        <v>52</v>
      </c>
      <c r="B85" s="42">
        <v>2.0</v>
      </c>
      <c r="C85" s="43"/>
      <c r="D85" s="41"/>
      <c r="E85" s="41"/>
    </row>
    <row r="86">
      <c r="A86" s="39" t="s">
        <v>53</v>
      </c>
      <c r="B86" s="42">
        <v>2.0</v>
      </c>
      <c r="C86" s="41"/>
      <c r="D86" s="41"/>
      <c r="E86" s="41"/>
    </row>
    <row r="87">
      <c r="A87" s="30" t="s">
        <v>54</v>
      </c>
      <c r="B87" s="44">
        <f>SUM(B88:B95)</f>
        <v>18</v>
      </c>
      <c r="C87" s="45"/>
      <c r="D87" s="33"/>
      <c r="E87" s="33"/>
    </row>
    <row r="88">
      <c r="A88" s="46" t="s">
        <v>55</v>
      </c>
      <c r="B88" s="35">
        <v>1.0</v>
      </c>
      <c r="C88" s="36"/>
      <c r="D88" s="37"/>
      <c r="E88" s="37"/>
    </row>
    <row r="89">
      <c r="A89" s="46" t="s">
        <v>56</v>
      </c>
      <c r="B89" s="35">
        <v>1.0</v>
      </c>
      <c r="C89" s="36"/>
      <c r="D89" s="37"/>
      <c r="E89" s="37"/>
    </row>
    <row r="90">
      <c r="A90" s="34" t="s">
        <v>57</v>
      </c>
      <c r="B90" s="35">
        <v>3.0</v>
      </c>
      <c r="C90" s="36"/>
      <c r="D90" s="37"/>
      <c r="E90" s="37"/>
    </row>
    <row r="91">
      <c r="A91" s="46" t="s">
        <v>58</v>
      </c>
      <c r="B91" s="35">
        <v>3.0</v>
      </c>
      <c r="C91" s="36"/>
      <c r="D91" s="37"/>
      <c r="E91" s="37"/>
    </row>
    <row r="92">
      <c r="A92" s="46" t="s">
        <v>59</v>
      </c>
      <c r="B92" s="35">
        <v>3.0</v>
      </c>
      <c r="C92" s="36"/>
      <c r="D92" s="37"/>
      <c r="E92" s="37"/>
    </row>
    <row r="93">
      <c r="A93" s="46" t="s">
        <v>60</v>
      </c>
      <c r="B93" s="35">
        <v>3.0</v>
      </c>
      <c r="C93" s="36"/>
      <c r="D93" s="37"/>
      <c r="E93" s="37"/>
    </row>
    <row r="94">
      <c r="A94" s="46" t="s">
        <v>61</v>
      </c>
      <c r="B94" s="35">
        <v>2.0</v>
      </c>
      <c r="C94" s="36"/>
      <c r="D94" s="37"/>
      <c r="E94" s="37"/>
    </row>
    <row r="95">
      <c r="A95" s="46" t="s">
        <v>62</v>
      </c>
      <c r="B95" s="35">
        <v>2.0</v>
      </c>
      <c r="C95" s="36"/>
      <c r="D95" s="37"/>
      <c r="E95" s="37"/>
    </row>
    <row r="96">
      <c r="A96" s="30" t="s">
        <v>63</v>
      </c>
      <c r="B96" s="44">
        <f>SUM(B97:B104)</f>
        <v>23</v>
      </c>
      <c r="C96" s="47"/>
      <c r="D96" s="33"/>
      <c r="E96" s="33"/>
    </row>
    <row r="97">
      <c r="A97" s="34" t="s">
        <v>64</v>
      </c>
      <c r="B97" s="35">
        <v>2.0</v>
      </c>
      <c r="C97" s="36"/>
      <c r="D97" s="37"/>
      <c r="E97" s="37"/>
    </row>
    <row r="98">
      <c r="A98" s="34" t="s">
        <v>65</v>
      </c>
      <c r="B98" s="35">
        <v>2.0</v>
      </c>
      <c r="C98" s="48"/>
      <c r="D98" s="37"/>
      <c r="E98" s="37"/>
    </row>
    <row r="99">
      <c r="A99" s="34" t="s">
        <v>66</v>
      </c>
      <c r="B99" s="35">
        <v>3.0</v>
      </c>
      <c r="C99" s="48"/>
      <c r="D99" s="37"/>
      <c r="E99" s="37"/>
    </row>
    <row r="100">
      <c r="A100" s="34" t="s">
        <v>67</v>
      </c>
      <c r="B100" s="35">
        <v>4.0</v>
      </c>
      <c r="C100" s="48"/>
      <c r="D100" s="37"/>
      <c r="E100" s="37"/>
    </row>
    <row r="101">
      <c r="A101" s="34" t="s">
        <v>68</v>
      </c>
      <c r="B101" s="35">
        <v>4.0</v>
      </c>
      <c r="C101" s="48"/>
      <c r="D101" s="37"/>
      <c r="E101" s="37"/>
    </row>
    <row r="102">
      <c r="A102" s="34" t="s">
        <v>69</v>
      </c>
      <c r="B102" s="35">
        <v>5.0</v>
      </c>
      <c r="C102" s="48"/>
      <c r="D102" s="37"/>
      <c r="E102" s="37"/>
    </row>
    <row r="103">
      <c r="A103" s="46" t="s">
        <v>70</v>
      </c>
      <c r="B103" s="35">
        <v>1.0</v>
      </c>
      <c r="C103" s="48"/>
      <c r="D103" s="37"/>
      <c r="E103" s="37"/>
    </row>
    <row r="104">
      <c r="A104" s="46" t="s">
        <v>71</v>
      </c>
      <c r="B104" s="35">
        <v>2.0</v>
      </c>
      <c r="C104" s="48"/>
      <c r="D104" s="37"/>
      <c r="E104" s="37"/>
    </row>
    <row r="105">
      <c r="A105" s="30" t="s">
        <v>72</v>
      </c>
      <c r="B105" s="44">
        <f>SUM(B106:B110)</f>
        <v>5</v>
      </c>
      <c r="C105" s="30"/>
      <c r="D105" s="44"/>
      <c r="E105" s="44"/>
    </row>
    <row r="106">
      <c r="A106" s="34" t="s">
        <v>73</v>
      </c>
      <c r="B106" s="35">
        <v>1.0</v>
      </c>
      <c r="C106" s="48"/>
      <c r="D106" s="37"/>
      <c r="E106" s="37"/>
    </row>
    <row r="107">
      <c r="A107" s="34" t="s">
        <v>74</v>
      </c>
      <c r="B107" s="35">
        <v>1.0</v>
      </c>
      <c r="C107" s="36"/>
      <c r="D107" s="37"/>
      <c r="E107" s="37"/>
    </row>
    <row r="108">
      <c r="A108" s="34" t="s">
        <v>75</v>
      </c>
      <c r="B108" s="35">
        <v>1.0</v>
      </c>
      <c r="C108" s="48"/>
      <c r="D108" s="37"/>
      <c r="E108" s="37"/>
    </row>
    <row r="109">
      <c r="A109" s="34" t="s">
        <v>76</v>
      </c>
      <c r="B109" s="35">
        <v>1.0</v>
      </c>
      <c r="C109" s="48"/>
      <c r="D109" s="37"/>
      <c r="E109" s="37"/>
    </row>
    <row r="110">
      <c r="A110" s="34" t="s">
        <v>77</v>
      </c>
      <c r="B110" s="35">
        <v>1.0</v>
      </c>
      <c r="C110" s="48"/>
      <c r="D110" s="37"/>
      <c r="E110" s="37"/>
    </row>
    <row r="111">
      <c r="A111" s="30" t="s">
        <v>78</v>
      </c>
      <c r="B111" s="44">
        <f>SUM(B112:B120)</f>
        <v>22</v>
      </c>
      <c r="C111" s="45"/>
      <c r="D111" s="33"/>
      <c r="E111" s="33"/>
    </row>
    <row r="112">
      <c r="A112" s="34" t="s">
        <v>79</v>
      </c>
      <c r="B112" s="35">
        <v>1.0</v>
      </c>
      <c r="C112" s="48"/>
      <c r="D112" s="37"/>
      <c r="E112" s="37"/>
    </row>
    <row r="113">
      <c r="A113" s="34" t="s">
        <v>80</v>
      </c>
      <c r="B113" s="35">
        <v>1.0</v>
      </c>
      <c r="C113" s="49"/>
      <c r="D113" s="37"/>
      <c r="E113" s="37"/>
    </row>
    <row r="114">
      <c r="A114" s="34" t="s">
        <v>81</v>
      </c>
      <c r="B114" s="35">
        <v>1.0</v>
      </c>
      <c r="C114" s="49"/>
      <c r="D114" s="37"/>
      <c r="E114" s="37"/>
    </row>
    <row r="115">
      <c r="A115" s="34" t="s">
        <v>82</v>
      </c>
      <c r="B115" s="35">
        <v>1.0</v>
      </c>
      <c r="C115" s="49"/>
      <c r="D115" s="37"/>
      <c r="E115" s="37"/>
    </row>
    <row r="116">
      <c r="A116" s="34" t="s">
        <v>83</v>
      </c>
      <c r="B116" s="35">
        <v>1.0</v>
      </c>
      <c r="C116" s="49"/>
      <c r="D116" s="37"/>
      <c r="E116" s="37"/>
    </row>
    <row r="117">
      <c r="A117" s="34" t="s">
        <v>84</v>
      </c>
      <c r="B117" s="35">
        <v>4.0</v>
      </c>
      <c r="C117" s="49"/>
      <c r="D117" s="37"/>
      <c r="E117" s="37"/>
    </row>
    <row r="118">
      <c r="A118" s="34" t="s">
        <v>85</v>
      </c>
      <c r="B118" s="35">
        <v>4.0</v>
      </c>
      <c r="C118" s="49"/>
      <c r="D118" s="37"/>
      <c r="E118" s="37"/>
    </row>
    <row r="119">
      <c r="A119" s="34" t="s">
        <v>86</v>
      </c>
      <c r="B119" s="35">
        <v>4.0</v>
      </c>
      <c r="C119" s="49"/>
      <c r="D119" s="37"/>
      <c r="E119" s="37"/>
    </row>
    <row r="120">
      <c r="A120" s="34" t="s">
        <v>87</v>
      </c>
      <c r="B120" s="35">
        <v>5.0</v>
      </c>
      <c r="C120" s="49"/>
      <c r="D120" s="37"/>
      <c r="E120" s="37"/>
    </row>
    <row r="121">
      <c r="A121" s="30" t="s">
        <v>88</v>
      </c>
      <c r="B121" s="44">
        <f>SUM(B122:B125)</f>
        <v>5</v>
      </c>
      <c r="C121" s="45"/>
      <c r="D121" s="33"/>
      <c r="E121" s="33"/>
    </row>
    <row r="122">
      <c r="A122" s="50" t="s">
        <v>89</v>
      </c>
      <c r="B122" s="40">
        <v>1.0</v>
      </c>
      <c r="C122" s="51"/>
      <c r="D122" s="51"/>
      <c r="E122" s="51"/>
    </row>
    <row r="123">
      <c r="A123" s="50" t="s">
        <v>90</v>
      </c>
      <c r="B123" s="40">
        <v>1.0</v>
      </c>
      <c r="C123" s="51"/>
      <c r="D123" s="51"/>
      <c r="E123" s="51"/>
    </row>
    <row r="124">
      <c r="A124" s="50" t="s">
        <v>91</v>
      </c>
      <c r="B124" s="40">
        <v>1.0</v>
      </c>
      <c r="C124" s="38"/>
      <c r="D124" s="38"/>
      <c r="E124" s="38"/>
    </row>
    <row r="125">
      <c r="A125" s="50" t="s">
        <v>92</v>
      </c>
      <c r="B125" s="40">
        <v>2.0</v>
      </c>
      <c r="C125" s="38"/>
      <c r="D125" s="38"/>
      <c r="E125" s="38"/>
    </row>
    <row r="126">
      <c r="A126" s="52" t="s">
        <v>93</v>
      </c>
      <c r="B126" s="53">
        <f>SUM(B127:B128)</f>
        <v>4</v>
      </c>
      <c r="C126" s="54"/>
      <c r="D126" s="55"/>
      <c r="E126" s="55"/>
    </row>
    <row r="127">
      <c r="A127" s="46" t="s">
        <v>94</v>
      </c>
      <c r="B127" s="56">
        <v>2.0</v>
      </c>
      <c r="C127" s="48"/>
      <c r="D127" s="37"/>
      <c r="E127" s="37"/>
    </row>
    <row r="128">
      <c r="A128" s="34" t="s">
        <v>95</v>
      </c>
      <c r="B128" s="56">
        <v>2.0</v>
      </c>
      <c r="C128" s="48"/>
      <c r="D128" s="37"/>
      <c r="E128" s="37"/>
    </row>
    <row r="129">
      <c r="A129" s="57" t="s">
        <v>96</v>
      </c>
      <c r="B129" s="58">
        <f>SUM(B130:B131)</f>
        <v>2</v>
      </c>
      <c r="C129" s="59"/>
      <c r="D129" s="60"/>
      <c r="E129" s="60"/>
    </row>
    <row r="130">
      <c r="A130" s="46" t="s">
        <v>97</v>
      </c>
      <c r="B130" s="35">
        <v>1.0</v>
      </c>
      <c r="C130" s="48"/>
      <c r="D130" s="37"/>
      <c r="E130" s="37"/>
    </row>
    <row r="131">
      <c r="A131" s="46" t="s">
        <v>98</v>
      </c>
      <c r="B131" s="35">
        <v>1.0</v>
      </c>
      <c r="C131" s="49"/>
      <c r="D131" s="37"/>
      <c r="E131" s="37"/>
    </row>
    <row r="132">
      <c r="A132" s="61" t="s">
        <v>99</v>
      </c>
      <c r="B132" s="62">
        <f>SUM(B126,B111,B96,B87,B71,B121, B129, B105)</f>
        <v>100</v>
      </c>
      <c r="C132" s="49"/>
      <c r="D132" s="37"/>
      <c r="E132" s="37"/>
    </row>
    <row r="133">
      <c r="B133" s="2"/>
    </row>
    <row r="134">
      <c r="B134" s="2"/>
    </row>
    <row r="135">
      <c r="A135" s="63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